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Model" sheetId="2" state="visible" r:id="rId2"/>
    <sheet name="5 Year Summary" sheetId="3" state="visible" r:id="rId3"/>
  </sheets>
  <definedNames>
    <definedName name="InitialInvestment">Headlines!$B$5</definedName>
    <definedName name="PlanPrice">Headlines!$B$8</definedName>
    <definedName name="CAC">Headlines!$B$9</definedName>
    <definedName name="MonthlyChurn">Headlines!$B$10</definedName>
    <definedName name="PaymentFee">Headlines!$B$11</definedName>
    <definedName name="ProviderPay">Headlines!$B$12</definedName>
    <definedName name="OpsPerCustomer">Headlines!$B$13</definedName>
    <definedName name="MonthlyFixed">Headlines!$B$14</definedName>
    <definedName name="MarketingPerMonth">Headlines!$B$15</definedName>
    <definedName name="VATRate">Headlines!$B$18</definedName>
    <definedName name="VATThreshold">Headlines!$B$19</definedName>
    <definedName name="InflationRate">Headlines!$B$20</definedName>
    <definedName name="LaunchMonth">Headlines!$B$21</definedName>
    <definedName name="SeasonTable">Headlines!$A$41:$B$52</definedName>
    <definedName name="ChurnSeasonTable">Headlines!$A$41:$C$52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1F4E79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4" fillId="0" borderId="0" pivotButton="0" quotePrefix="0" xfId="0"/>
    <xf numFmtId="165" fontId="0" fillId="2" borderId="0" pivotButton="0" quotePrefix="0" xfId="0"/>
    <xf numFmtId="10" fontId="0" fillId="2" borderId="0" pivotButton="0" quotePrefix="0" xfId="0"/>
    <xf numFmtId="1" fontId="0" fillId="2" borderId="0" pivotButton="0" quotePrefix="0" xfId="0"/>
    <xf numFmtId="0" fontId="4" fillId="3" borderId="0" pivotButton="0" quotePrefix="0" xfId="0"/>
    <xf numFmtId="3" fontId="0" fillId="4" borderId="0" pivotButton="0" quotePrefix="0" xfId="0"/>
    <xf numFmtId="164" fontId="0" fillId="4" borderId="0" pivotButton="0" quotePrefix="0" xfId="0"/>
    <xf numFmtId="10" fontId="0" fillId="4" borderId="0" pivotButton="0" quotePrefix="0" xfId="0"/>
    <xf numFmtId="2" fontId="0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</cols>
  <sheetData>
    <row r="1">
      <c r="A1" s="1" t="inlineStr">
        <is>
          <t>GardensSorted — Simplified Forecast</t>
        </is>
      </c>
    </row>
    <row r="2">
      <c r="A2" s="2" t="inlineStr">
        <is>
          <t>Edit yellow cells below. Open in Excel or Google Sheets for live formulas.</t>
        </is>
      </c>
    </row>
    <row r="4">
      <c r="A4" s="3" t="inlineStr">
        <is>
          <t>INPUTS</t>
        </is>
      </c>
    </row>
    <row r="5">
      <c r="A5" t="inlineStr">
        <is>
          <t>Initial investment (£)</t>
        </is>
      </c>
      <c r="B5" s="4" t="n">
        <v>17000</v>
      </c>
      <c r="C5" t="inlineStr">
        <is>
          <t>Starting cash balance</t>
        </is>
      </c>
    </row>
    <row r="7">
      <c r="A7" s="5" t="inlineStr">
        <is>
          <t>SUBSCRIPTION &amp; UNIT ECONOMICS</t>
        </is>
      </c>
    </row>
    <row r="8">
      <c r="A8" t="inlineStr">
        <is>
          <t>Monthly plan price (£/mo)</t>
        </is>
      </c>
      <c r="B8" s="6" t="n">
        <v>54.95</v>
      </c>
      <c r="C8" t="inlineStr">
        <is>
          <t>Single plan — monthly billing only</t>
        </is>
      </c>
    </row>
    <row r="9">
      <c r="A9" t="inlineStr">
        <is>
          <t>Customer Acquisition Cost — CAC (£)</t>
        </is>
      </c>
      <c r="B9" s="4" t="n">
        <v>70</v>
      </c>
      <c r="C9" t="inlineStr">
        <is>
          <t>Paid acquisition per customer</t>
        </is>
      </c>
    </row>
    <row r="10">
      <c r="A10" t="inlineStr">
        <is>
          <t>Monthly churn (%/mo)</t>
        </is>
      </c>
      <c r="B10" s="7" t="n">
        <v>0.055</v>
      </c>
      <c r="C10" t="inlineStr">
        <is>
          <t>Applied after 3-month minimum term</t>
        </is>
      </c>
    </row>
    <row r="11">
      <c r="A11" t="inlineStr">
        <is>
          <t>Payment processing fee (%)</t>
        </is>
      </c>
      <c r="B11" s="7" t="n">
        <v>0.03</v>
      </c>
      <c r="C11" t="inlineStr">
        <is>
          <t>Stripe/card fees</t>
        </is>
      </c>
    </row>
    <row r="12">
      <c r="A12" t="inlineStr">
        <is>
          <t>Provider pay per customer (£/mo)</t>
        </is>
      </c>
      <c r="B12" s="4" t="n">
        <v>20</v>
      </c>
      <c r="C12" t="inlineStr">
        <is>
          <t>Paid to service provider per visit (×1 visit/mo at launch offer)</t>
        </is>
      </c>
    </row>
    <row r="13">
      <c r="A13" t="inlineStr">
        <is>
          <t>Ops cost per customer (£/mo)</t>
        </is>
      </c>
      <c r="B13" s="4" t="n">
        <v>5</v>
      </c>
      <c r="C13" t="inlineStr">
        <is>
          <t>Support, hosting, AI per active sub</t>
        </is>
      </c>
    </row>
    <row r="14">
      <c r="A14" t="inlineStr">
        <is>
          <t>Flat platform cost (£/mo)</t>
        </is>
      </c>
      <c r="B14" s="4" t="n">
        <v>250</v>
      </c>
      <c r="C14" t="inlineStr">
        <is>
          <t>Hosting, tools — fixed overhead</t>
        </is>
      </c>
    </row>
    <row r="15">
      <c r="A15" t="inlineStr">
        <is>
          <t>Marketing spend (£/mo)</t>
        </is>
      </c>
      <c r="B15" s="4" t="n">
        <v>3000</v>
      </c>
      <c r="C15" t="inlineStr">
        <is>
          <t>Flat monthly marketing budget</t>
        </is>
      </c>
    </row>
    <row r="17">
      <c r="A17" s="5" t="inlineStr">
        <is>
          <t>VAT &amp; INFLATION</t>
        </is>
      </c>
    </row>
    <row r="18">
      <c r="A18" t="inlineStr">
        <is>
          <t>VAT rate (%)</t>
        </is>
      </c>
      <c r="B18" s="7" t="n">
        <v>0.2</v>
      </c>
      <c r="C18" t="inlineStr">
        <is>
          <t>Standard rate once registered</t>
        </is>
      </c>
    </row>
    <row r="19">
      <c r="A19" t="inlineStr">
        <is>
          <t>VAT registration threshold (£)</t>
        </is>
      </c>
      <c r="B19" s="4" t="n">
        <v>90000</v>
      </c>
      <c r="C19" t="inlineStr">
        <is>
          <t>Rolling 12-month gross turnover</t>
        </is>
      </c>
    </row>
    <row r="20">
      <c r="A20" t="inlineStr">
        <is>
          <t>Annual price increase / inflation (%)</t>
        </is>
      </c>
      <c r="B20" s="7" t="n">
        <v>0.025</v>
      </c>
      <c r="C20" t="inlineStr">
        <is>
          <t>Applied each model year</t>
        </is>
      </c>
    </row>
    <row r="21">
      <c r="A21" t="inlineStr">
        <is>
          <t>Launch calendar month (1=Jan … 12=Dec)</t>
        </is>
      </c>
      <c r="B21" s="8" t="n">
        <v>3</v>
      </c>
      <c r="C21" t="inlineStr">
        <is>
          <t>March = pre-season launch</t>
        </is>
      </c>
    </row>
    <row r="23">
      <c r="A23" s="3" t="inlineStr">
        <is>
          <t>KEY METRICS</t>
        </is>
      </c>
    </row>
    <row r="24">
      <c r="A24" s="9" t="inlineStr">
        <is>
          <t>Metric</t>
        </is>
      </c>
      <c r="B24" s="9" t="inlineStr">
        <is>
          <t>Year 1</t>
        </is>
      </c>
      <c r="C24" s="9" t="inlineStr">
        <is>
          <t>Year 2</t>
        </is>
      </c>
      <c r="D24" s="9" t="inlineStr">
        <is>
          <t>Year 5</t>
        </is>
      </c>
    </row>
    <row r="25">
      <c r="A25" t="inlineStr">
        <is>
          <t>End customers</t>
        </is>
      </c>
      <c r="B25" s="10">
        <f>Model!I16</f>
        <v/>
      </c>
      <c r="C25" s="10">
        <f>Model!I28</f>
        <v/>
      </c>
      <c r="D25" s="10">
        <f>Model!I64</f>
        <v/>
      </c>
    </row>
    <row r="26">
      <c r="A26" t="inlineStr">
        <is>
          <t>MRR</t>
        </is>
      </c>
      <c r="B26" s="11">
        <f>Model!J16</f>
        <v/>
      </c>
      <c r="C26" s="11">
        <f>Model!J28</f>
        <v/>
      </c>
      <c r="D26" s="11">
        <f>Model!J64</f>
        <v/>
      </c>
    </row>
    <row r="27">
      <c r="A27" t="inlineStr">
        <is>
          <t>ARR</t>
        </is>
      </c>
      <c r="B27" s="11">
        <f>Model!K16</f>
        <v/>
      </c>
      <c r="C27" s="11">
        <f>Model!K28</f>
        <v/>
      </c>
      <c r="D27" s="11">
        <f>Model!K64</f>
        <v/>
      </c>
    </row>
    <row r="28">
      <c r="A28" t="inlineStr">
        <is>
          <t>Gross revenue</t>
        </is>
      </c>
      <c r="B28" s="11">
        <f>SUM(Model!L5:L16)</f>
        <v/>
      </c>
      <c r="C28" s="11">
        <f>SUM(Model!L17:L28)</f>
        <v/>
      </c>
      <c r="D28" s="11">
        <f>SUM(Model!L53:L64)</f>
        <v/>
      </c>
    </row>
    <row r="29">
      <c r="A29" t="inlineStr">
        <is>
          <t>Net revenue</t>
        </is>
      </c>
      <c r="B29" s="11">
        <f>SUM(Model!O5:O16)</f>
        <v/>
      </c>
      <c r="C29" s="11">
        <f>SUM(Model!O17:O28)</f>
        <v/>
      </c>
      <c r="D29" s="11">
        <f>SUM(Model!O53:O64)</f>
        <v/>
      </c>
    </row>
    <row r="30">
      <c r="A30" t="inlineStr">
        <is>
          <t>Annual profit</t>
        </is>
      </c>
      <c r="B30" s="11">
        <f>SUM(Model!W5:W16)</f>
        <v/>
      </c>
      <c r="C30" s="11">
        <f>SUM(Model!W17:W28)</f>
        <v/>
      </c>
      <c r="D30" s="11">
        <f>SUM(Model!W53:W64)</f>
        <v/>
      </c>
    </row>
    <row r="31">
      <c r="A31" t="inlineStr">
        <is>
          <t>Cash balance</t>
        </is>
      </c>
      <c r="B31" s="11">
        <f>Model!X16</f>
        <v/>
      </c>
      <c r="C31" s="11">
        <f>Model!X28</f>
        <v/>
      </c>
      <c r="D31" s="11">
        <f>Model!X64</f>
        <v/>
      </c>
    </row>
    <row r="32">
      <c r="A32" t="inlineStr">
        <is>
          <t>Avg logo churn</t>
        </is>
      </c>
      <c r="B32" s="12">
        <f>AVERAGE(Model!Y6:Y16)</f>
        <v/>
      </c>
      <c r="C32" s="12">
        <f>AVERAGE(Model!Y18:Y28)</f>
        <v/>
      </c>
      <c r="D32" s="12">
        <f>AVERAGE(Model!Y54:Y64)</f>
        <v/>
      </c>
    </row>
    <row r="34">
      <c r="A34" s="3" t="inlineStr">
        <is>
          <t>MILESTONES</t>
        </is>
      </c>
    </row>
    <row r="35">
      <c r="A35" t="inlineStr">
        <is>
          <t>VAT registration</t>
        </is>
      </c>
      <c r="B35">
        <f>IFERROR("Month "&amp;MINIFS(Model!A5:A64,Model!N5:N64,1),"Not in 60 months")</f>
        <v/>
      </c>
    </row>
    <row r="36">
      <c r="A36" t="inlineStr">
        <is>
          <t>First profitable month</t>
        </is>
      </c>
      <c r="B36">
        <f>IFERROR("Month "&amp;MINIFS(Model!A5:A64,Model!W5:W64,"&gt;0"),"Not in 60 months")</f>
        <v/>
      </c>
    </row>
    <row r="37">
      <c r="A37" t="inlineStr">
        <is>
          <t>Cash payback (initial investment)</t>
        </is>
      </c>
      <c r="B37">
        <f>IFERROR("Month "&amp;MINIFS(Model!A5:A64,Model!X5:X64,"&gt;="&amp;Headlines!$B$5),"Not reached")</f>
        <v/>
      </c>
    </row>
    <row r="39">
      <c r="A39" s="3" t="inlineStr">
        <is>
          <t>SEASONALITY (calendar month multipliers)</t>
        </is>
      </c>
    </row>
    <row r="40">
      <c r="A40" s="9" t="inlineStr">
        <is>
          <t>Month</t>
        </is>
      </c>
      <c r="B40" s="9" t="inlineStr">
        <is>
          <t>Acq mult</t>
        </is>
      </c>
      <c r="C40" s="9" t="inlineStr">
        <is>
          <t>Churn mult</t>
        </is>
      </c>
      <c r="D40" s="9" t="inlineStr">
        <is>
          <t>Notes</t>
        </is>
      </c>
    </row>
    <row r="41">
      <c r="A41" t="n">
        <v>1</v>
      </c>
      <c r="B41" s="13" t="n">
        <v>0.5600000000000001</v>
      </c>
      <c r="C41" s="13" t="n">
        <v>1.37</v>
      </c>
      <c r="D41" t="inlineStr">
        <is>
          <t>Low</t>
        </is>
      </c>
    </row>
    <row r="42">
      <c r="A42" t="n">
        <v>2</v>
      </c>
      <c r="B42" s="13" t="n">
        <v>0.66</v>
      </c>
      <c r="C42" s="13" t="n">
        <v>1.28</v>
      </c>
      <c r="D42" t="inlineStr">
        <is>
          <t>Pre-season</t>
        </is>
      </c>
    </row>
    <row r="43">
      <c r="A43" t="n">
        <v>3</v>
      </c>
      <c r="B43" s="13" t="n">
        <v>0.87</v>
      </c>
      <c r="C43" s="13" t="n">
        <v>1.04</v>
      </c>
      <c r="D43" t="inlineStr">
        <is>
          <t>Spring</t>
        </is>
      </c>
    </row>
    <row r="44">
      <c r="A44" t="n">
        <v>4</v>
      </c>
      <c r="B44" s="13" t="n">
        <v>1.07</v>
      </c>
      <c r="C44" s="13" t="n">
        <v>0.85</v>
      </c>
      <c r="D44" t="inlineStr">
        <is>
          <t>Ramp</t>
        </is>
      </c>
    </row>
    <row r="45">
      <c r="A45" t="n">
        <v>5</v>
      </c>
      <c r="B45" s="13" t="n">
        <v>1.17</v>
      </c>
      <c r="C45" s="13" t="n">
        <v>0.76</v>
      </c>
      <c r="D45" t="inlineStr">
        <is>
          <t>Peak</t>
        </is>
      </c>
    </row>
    <row r="46">
      <c r="A46" t="n">
        <v>6</v>
      </c>
      <c r="B46" s="13" t="n">
        <v>1.22</v>
      </c>
      <c r="C46" s="13" t="n">
        <v>0.71</v>
      </c>
      <c r="D46" t="inlineStr">
        <is>
          <t>Peak</t>
        </is>
      </c>
    </row>
    <row r="47">
      <c r="A47" t="n">
        <v>7</v>
      </c>
      <c r="B47" s="13" t="n">
        <v>1.22</v>
      </c>
      <c r="C47" s="13" t="n">
        <v>0.71</v>
      </c>
      <c r="D47" t="inlineStr">
        <is>
          <t>Peak</t>
        </is>
      </c>
    </row>
    <row r="48">
      <c r="A48" t="n">
        <v>8</v>
      </c>
      <c r="B48" s="13" t="n">
        <v>1.17</v>
      </c>
      <c r="C48" s="13" t="n">
        <v>0.76</v>
      </c>
      <c r="D48" t="inlineStr">
        <is>
          <t>Peak</t>
        </is>
      </c>
    </row>
    <row r="49">
      <c r="A49" t="n">
        <v>9</v>
      </c>
      <c r="B49" s="13" t="n">
        <v>1.02</v>
      </c>
      <c r="C49" s="13" t="n">
        <v>0.9</v>
      </c>
      <c r="D49" t="inlineStr">
        <is>
          <t>Shoulder</t>
        </is>
      </c>
    </row>
    <row r="50">
      <c r="A50" t="n">
        <v>10</v>
      </c>
      <c r="B50" s="13" t="n">
        <v>0.82</v>
      </c>
      <c r="C50" s="13" t="n">
        <v>1.04</v>
      </c>
      <c r="D50" t="inlineStr">
        <is>
          <t>Wind-down</t>
        </is>
      </c>
    </row>
    <row r="51">
      <c r="A51" t="n">
        <v>11</v>
      </c>
      <c r="B51" s="13" t="n">
        <v>0.61</v>
      </c>
      <c r="C51" s="13" t="n">
        <v>1.23</v>
      </c>
      <c r="D51" t="inlineStr">
        <is>
          <t>Low</t>
        </is>
      </c>
    </row>
    <row r="52">
      <c r="A52" t="n">
        <v>12</v>
      </c>
      <c r="B52" s="13" t="n">
        <v>0.5600000000000001</v>
      </c>
      <c r="C52" s="13" t="n">
        <v>1.37</v>
      </c>
      <c r="D5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60-Month Model — Simplified (single plan, flat marketing)</t>
        </is>
      </c>
    </row>
    <row r="2">
      <c r="A2" t="inlineStr">
        <is>
          <t>All inputs on Headlines tab</t>
        </is>
      </c>
    </row>
    <row r="4">
      <c r="A4" s="9" t="inlineStr">
        <is>
          <t>Mo</t>
        </is>
      </c>
      <c r="B4" s="9" t="inlineStr">
        <is>
          <t>Cal</t>
        </is>
      </c>
      <c r="C4" s="9" t="inlineStr">
        <is>
          <t>CY</t>
        </is>
      </c>
      <c r="D4" s="9" t="inlineStr">
        <is>
          <t>Acq</t>
        </is>
      </c>
      <c r="E4" s="9" t="inlineStr">
        <is>
          <t>Infl</t>
        </is>
      </c>
      <c r="F4" s="9" t="inlineStr">
        <is>
          <t>ECh</t>
        </is>
      </c>
      <c r="G4" s="9" t="inlineStr">
        <is>
          <t>Mkt</t>
        </is>
      </c>
      <c r="H4" s="9" t="inlineStr">
        <is>
          <t>New</t>
        </is>
      </c>
      <c r="I4" s="9" t="inlineStr">
        <is>
          <t>Cust</t>
        </is>
      </c>
      <c r="J4" s="9" t="inlineStr">
        <is>
          <t>MRR</t>
        </is>
      </c>
      <c r="K4" s="9" t="inlineStr">
        <is>
          <t>ARR</t>
        </is>
      </c>
      <c r="L4" s="9" t="inlineStr">
        <is>
          <t>Gross</t>
        </is>
      </c>
      <c r="M4" s="9" t="inlineStr">
        <is>
          <t>R12</t>
        </is>
      </c>
      <c r="N4" s="9" t="inlineStr">
        <is>
          <t>VAT?</t>
        </is>
      </c>
      <c r="O4" s="9" t="inlineStr">
        <is>
          <t>Net</t>
        </is>
      </c>
      <c r="P4" s="9" t="inlineStr">
        <is>
          <t>VAcc</t>
        </is>
      </c>
      <c r="Q4" s="9" t="inlineStr">
        <is>
          <t>VPay</t>
        </is>
      </c>
      <c r="R4" s="9" t="inlineStr">
        <is>
          <t>Fees</t>
        </is>
      </c>
      <c r="S4" s="9" t="inlineStr">
        <is>
          <t>Prov</t>
        </is>
      </c>
      <c r="T4" s="9" t="inlineStr">
        <is>
          <t>Ops</t>
        </is>
      </c>
      <c r="U4" s="9" t="inlineStr">
        <is>
          <t>Fixed</t>
        </is>
      </c>
      <c r="V4" s="9" t="inlineStr">
        <is>
          <t>Mkt$</t>
        </is>
      </c>
      <c r="W4" s="9" t="inlineStr">
        <is>
          <t>Profit</t>
        </is>
      </c>
      <c r="X4" s="9" t="inlineStr">
        <is>
          <t>Cash</t>
        </is>
      </c>
      <c r="Y4" s="9" t="inlineStr">
        <is>
          <t>Chrn</t>
        </is>
      </c>
    </row>
    <row r="5">
      <c r="A5" t="n">
        <v>1</v>
      </c>
      <c r="B5">
        <f>MOD(A5-1+Headlines!$B$21-1,12)+1</f>
        <v/>
      </c>
      <c r="C5">
        <f>INT((A5-1+Headlines!$B$21-1)/12)+1</f>
        <v/>
      </c>
      <c r="D5">
        <f>VLOOKUP(B5,Headlines!$A$41:$B$52,2,FALSE)</f>
        <v/>
      </c>
      <c r="E5">
        <f>(1+Headlines!$B$20)^INT((A5-1)/12)</f>
        <v/>
      </c>
      <c r="F5">
        <f>Headlines!$B$10*VLOOKUP(B5,Headlines!$A$41:$C$52,3,FALSE)</f>
        <v/>
      </c>
      <c r="G5" s="14">
        <f>Headlines!$B$15</f>
        <v/>
      </c>
      <c r="H5" s="15">
        <f>IF(G5&gt;0,MAX(1,ROUND(G5/Headlines!$B$9*D5,0)),0)</f>
        <v/>
      </c>
      <c r="I5" s="15">
        <f>H5</f>
        <v/>
      </c>
      <c r="J5" s="14">
        <f>I5*Headlines!$B$8*E5</f>
        <v/>
      </c>
      <c r="K5" s="14">
        <f>J5*12</f>
        <v/>
      </c>
      <c r="L5" s="14">
        <f>J5</f>
        <v/>
      </c>
      <c r="M5" s="14">
        <f>SUM(L$5:L5)</f>
        <v/>
      </c>
      <c r="N5">
        <f>IF(M5&gt;=Headlines!$B$19,1,0)</f>
        <v/>
      </c>
      <c r="O5" s="14">
        <f>IF(N5,L5/(1+Headlines!$B$18),L5)</f>
        <v/>
      </c>
      <c r="P5" s="14">
        <f>L5-O5</f>
        <v/>
      </c>
      <c r="Q5" s="14">
        <f>IF(N5=0,0,IF(B5=1,SUMIFS(P$5:P5,C$5:C5,C5-1,B$5:B5,"&gt;=10",B$5:B5,"&lt;=12"),IF(B5=4,SUMIFS(P$5:P5,C$5:C5,C5,B$5:B5,"&gt;=1",B$5:B5,"&lt;=3"),IF(B5=7,SUMIFS(P$5:P5,C$5:C5,C5,B$5:B5,"&gt;=4",B$5:B5,"&lt;=6"),IF(B5=10,SUMIFS(P$5:P5,C$5:C5,C5,B$5:B5,"&gt;=7",B$5:B5,"&lt;=9"),0)))))</f>
        <v/>
      </c>
      <c r="R5" s="14">
        <f>L5*Headlines!$B$11</f>
        <v/>
      </c>
      <c r="S5" s="14">
        <f>I5*Headlines!$B$12</f>
        <v/>
      </c>
      <c r="T5" s="14">
        <f>I5*Headlines!$B$13</f>
        <v/>
      </c>
      <c r="U5" s="14">
        <f>Headlines!$B$14</f>
        <v/>
      </c>
      <c r="V5" s="14">
        <f>G5</f>
        <v/>
      </c>
      <c r="W5" s="14">
        <f>O5-R5-S5-T5-U5-V5</f>
        <v/>
      </c>
      <c r="X5" s="14">
        <f>Headlines!$B$5+L5-(R5+S5+T5+U5+V5+Q5)</f>
        <v/>
      </c>
      <c r="Y5" s="16">
        <f>F5</f>
        <v/>
      </c>
    </row>
    <row r="6">
      <c r="A6" t="n">
        <v>2</v>
      </c>
      <c r="B6">
        <f>MOD(A6-1+Headlines!$B$21-1,12)+1</f>
        <v/>
      </c>
      <c r="C6">
        <f>INT((A6-1+Headlines!$B$21-1)/12)+1</f>
        <v/>
      </c>
      <c r="D6">
        <f>VLOOKUP(B6,Headlines!$A$41:$B$52,2,FALSE)</f>
        <v/>
      </c>
      <c r="E6">
        <f>(1+Headlines!$B$20)^INT((A6-1)/12)</f>
        <v/>
      </c>
      <c r="F6">
        <f>Headlines!$B$10*VLOOKUP(B6,Headlines!$A$41:$C$52,3,FALSE)</f>
        <v/>
      </c>
      <c r="G6" s="14">
        <f>Headlines!$B$15</f>
        <v/>
      </c>
      <c r="H6" s="15">
        <f>IF(G6&gt;0,MAX(1,ROUND(G6/Headlines!$B$9*D6,0)),0)</f>
        <v/>
      </c>
      <c r="I6" s="15">
        <f>H5+H6</f>
        <v/>
      </c>
      <c r="J6" s="14">
        <f>I6*Headlines!$B$8*E6</f>
        <v/>
      </c>
      <c r="K6" s="14">
        <f>J6*12</f>
        <v/>
      </c>
      <c r="L6" s="14">
        <f>J6</f>
        <v/>
      </c>
      <c r="M6" s="14">
        <f>SUM(L$5:L6)</f>
        <v/>
      </c>
      <c r="N6">
        <f>IF(M6&gt;=Headlines!$B$19,1,0)</f>
        <v/>
      </c>
      <c r="O6" s="14">
        <f>IF(N6,L6/(1+Headlines!$B$18),L6)</f>
        <v/>
      </c>
      <c r="P6" s="14">
        <f>L6-O6</f>
        <v/>
      </c>
      <c r="Q6" s="14">
        <f>IF(N6=0,0,IF(B6=1,SUMIFS(P$5:P6,C$5:C6,C6-1,B$5:B6,"&gt;=10",B$5:B6,"&lt;=12"),IF(B6=4,SUMIFS(P$5:P6,C$5:C6,C6,B$5:B6,"&gt;=1",B$5:B6,"&lt;=3"),IF(B6=7,SUMIFS(P$5:P6,C$5:C6,C6,B$5:B6,"&gt;=4",B$5:B6,"&lt;=6"),IF(B6=10,SUMIFS(P$5:P6,C$5:C6,C6,B$5:B6,"&gt;=7",B$5:B6,"&lt;=9"),0)))))</f>
        <v/>
      </c>
      <c r="R6" s="14">
        <f>L6*Headlines!$B$11</f>
        <v/>
      </c>
      <c r="S6" s="14">
        <f>I6*Headlines!$B$12</f>
        <v/>
      </c>
      <c r="T6" s="14">
        <f>I6*Headlines!$B$13</f>
        <v/>
      </c>
      <c r="U6" s="14">
        <f>Headlines!$B$14</f>
        <v/>
      </c>
      <c r="V6" s="14">
        <f>G6</f>
        <v/>
      </c>
      <c r="W6" s="14">
        <f>O6-R6-S6-T6-U6-V6</f>
        <v/>
      </c>
      <c r="X6" s="14">
        <f>X5+L6-(R6+S6+T6+U6+V6+Q6)</f>
        <v/>
      </c>
      <c r="Y6" s="16">
        <f>F6</f>
        <v/>
      </c>
    </row>
    <row r="7">
      <c r="A7" t="n">
        <v>3</v>
      </c>
      <c r="B7">
        <f>MOD(A7-1+Headlines!$B$21-1,12)+1</f>
        <v/>
      </c>
      <c r="C7">
        <f>INT((A7-1+Headlines!$B$21-1)/12)+1</f>
        <v/>
      </c>
      <c r="D7">
        <f>VLOOKUP(B7,Headlines!$A$41:$B$52,2,FALSE)</f>
        <v/>
      </c>
      <c r="E7">
        <f>(1+Headlines!$B$20)^INT((A7-1)/12)</f>
        <v/>
      </c>
      <c r="F7">
        <f>Headlines!$B$10*VLOOKUP(B7,Headlines!$A$41:$C$52,3,FALSE)</f>
        <v/>
      </c>
      <c r="G7" s="14">
        <f>Headlines!$B$15</f>
        <v/>
      </c>
      <c r="H7" s="15">
        <f>IF(G7&gt;0,MAX(1,ROUND(G7/Headlines!$B$9*D7,0)),0)</f>
        <v/>
      </c>
      <c r="I7" s="15">
        <f>H5+H6+H7</f>
        <v/>
      </c>
      <c r="J7" s="14">
        <f>I7*Headlines!$B$8*E7</f>
        <v/>
      </c>
      <c r="K7" s="14">
        <f>J7*12</f>
        <v/>
      </c>
      <c r="L7" s="14">
        <f>J7</f>
        <v/>
      </c>
      <c r="M7" s="14">
        <f>SUM(L$5:L7)</f>
        <v/>
      </c>
      <c r="N7">
        <f>IF(M7&gt;=Headlines!$B$19,1,0)</f>
        <v/>
      </c>
      <c r="O7" s="14">
        <f>IF(N7,L7/(1+Headlines!$B$18),L7)</f>
        <v/>
      </c>
      <c r="P7" s="14">
        <f>L7-O7</f>
        <v/>
      </c>
      <c r="Q7" s="14">
        <f>IF(N7=0,0,IF(B7=1,SUMIFS(P$5:P7,C$5:C7,C7-1,B$5:B7,"&gt;=10",B$5:B7,"&lt;=12"),IF(B7=4,SUMIFS(P$5:P7,C$5:C7,C7,B$5:B7,"&gt;=1",B$5:B7,"&lt;=3"),IF(B7=7,SUMIFS(P$5:P7,C$5:C7,C7,B$5:B7,"&gt;=4",B$5:B7,"&lt;=6"),IF(B7=10,SUMIFS(P$5:P7,C$5:C7,C7,B$5:B7,"&gt;=7",B$5:B7,"&lt;=9"),0)))))</f>
        <v/>
      </c>
      <c r="R7" s="14">
        <f>L7*Headlines!$B$11</f>
        <v/>
      </c>
      <c r="S7" s="14">
        <f>I7*Headlines!$B$12</f>
        <v/>
      </c>
      <c r="T7" s="14">
        <f>I7*Headlines!$B$13</f>
        <v/>
      </c>
      <c r="U7" s="14">
        <f>Headlines!$B$14</f>
        <v/>
      </c>
      <c r="V7" s="14">
        <f>G7</f>
        <v/>
      </c>
      <c r="W7" s="14">
        <f>O7-R7-S7-T7-U7-V7</f>
        <v/>
      </c>
      <c r="X7" s="14">
        <f>X6+L7-(R7+S7+T7+U7+V7+Q7)</f>
        <v/>
      </c>
      <c r="Y7" s="16">
        <f>F7</f>
        <v/>
      </c>
    </row>
    <row r="8">
      <c r="A8" t="n">
        <v>4</v>
      </c>
      <c r="B8">
        <f>MOD(A8-1+Headlines!$B$21-1,12)+1</f>
        <v/>
      </c>
      <c r="C8">
        <f>INT((A8-1+Headlines!$B$21-1)/12)+1</f>
        <v/>
      </c>
      <c r="D8">
        <f>VLOOKUP(B8,Headlines!$A$41:$B$52,2,FALSE)</f>
        <v/>
      </c>
      <c r="E8">
        <f>(1+Headlines!$B$20)^INT((A8-1)/12)</f>
        <v/>
      </c>
      <c r="F8">
        <f>Headlines!$B$10*VLOOKUP(B8,Headlines!$A$41:$C$52,3,FALSE)</f>
        <v/>
      </c>
      <c r="G8" s="14">
        <f>Headlines!$B$15</f>
        <v/>
      </c>
      <c r="H8" s="15">
        <f>IF(G8&gt;0,MAX(1,ROUND(G8/Headlines!$B$9*D8,0)),0)</f>
        <v/>
      </c>
      <c r="I8" s="15">
        <f>H8+H7+H6+MAX(0,I7-H7-H6)*(1-F8)</f>
        <v/>
      </c>
      <c r="J8" s="14">
        <f>I8*Headlines!$B$8*E8</f>
        <v/>
      </c>
      <c r="K8" s="14">
        <f>J8*12</f>
        <v/>
      </c>
      <c r="L8" s="14">
        <f>J8</f>
        <v/>
      </c>
      <c r="M8" s="14">
        <f>SUM(L$5:L8)</f>
        <v/>
      </c>
      <c r="N8">
        <f>IF(M8&gt;=Headlines!$B$19,1,0)</f>
        <v/>
      </c>
      <c r="O8" s="14">
        <f>IF(N8,L8/(1+Headlines!$B$18),L8)</f>
        <v/>
      </c>
      <c r="P8" s="14">
        <f>L8-O8</f>
        <v/>
      </c>
      <c r="Q8" s="14">
        <f>IF(N8=0,0,IF(B8=1,SUMIFS(P$5:P8,C$5:C8,C8-1,B$5:B8,"&gt;=10",B$5:B8,"&lt;=12"),IF(B8=4,SUMIFS(P$5:P8,C$5:C8,C8,B$5:B8,"&gt;=1",B$5:B8,"&lt;=3"),IF(B8=7,SUMIFS(P$5:P8,C$5:C8,C8,B$5:B8,"&gt;=4",B$5:B8,"&lt;=6"),IF(B8=10,SUMIFS(P$5:P8,C$5:C8,C8,B$5:B8,"&gt;=7",B$5:B8,"&lt;=9"),0)))))</f>
        <v/>
      </c>
      <c r="R8" s="14">
        <f>L8*Headlines!$B$11</f>
        <v/>
      </c>
      <c r="S8" s="14">
        <f>I8*Headlines!$B$12</f>
        <v/>
      </c>
      <c r="T8" s="14">
        <f>I8*Headlines!$B$13</f>
        <v/>
      </c>
      <c r="U8" s="14">
        <f>Headlines!$B$14</f>
        <v/>
      </c>
      <c r="V8" s="14">
        <f>G8</f>
        <v/>
      </c>
      <c r="W8" s="14">
        <f>O8-R8-S8-T8-U8-V8</f>
        <v/>
      </c>
      <c r="X8" s="14">
        <f>X7+L8-(R8+S8+T8+U8+V8+Q8)</f>
        <v/>
      </c>
      <c r="Y8" s="16">
        <f>F8</f>
        <v/>
      </c>
    </row>
    <row r="9">
      <c r="A9" t="n">
        <v>5</v>
      </c>
      <c r="B9">
        <f>MOD(A9-1+Headlines!$B$21-1,12)+1</f>
        <v/>
      </c>
      <c r="C9">
        <f>INT((A9-1+Headlines!$B$21-1)/12)+1</f>
        <v/>
      </c>
      <c r="D9">
        <f>VLOOKUP(B9,Headlines!$A$41:$B$52,2,FALSE)</f>
        <v/>
      </c>
      <c r="E9">
        <f>(1+Headlines!$B$20)^INT((A9-1)/12)</f>
        <v/>
      </c>
      <c r="F9">
        <f>Headlines!$B$10*VLOOKUP(B9,Headlines!$A$41:$C$52,3,FALSE)</f>
        <v/>
      </c>
      <c r="G9" s="14">
        <f>Headlines!$B$15</f>
        <v/>
      </c>
      <c r="H9" s="15">
        <f>IF(G9&gt;0,MAX(1,ROUND(G9/Headlines!$B$9*D9,0)),0)</f>
        <v/>
      </c>
      <c r="I9" s="15">
        <f>H9+H8+H7+MAX(0,I8-H8-H7)*(1-F9)</f>
        <v/>
      </c>
      <c r="J9" s="14">
        <f>I9*Headlines!$B$8*E9</f>
        <v/>
      </c>
      <c r="K9" s="14">
        <f>J9*12</f>
        <v/>
      </c>
      <c r="L9" s="14">
        <f>J9</f>
        <v/>
      </c>
      <c r="M9" s="14">
        <f>SUM(L$5:L9)</f>
        <v/>
      </c>
      <c r="N9">
        <f>IF(M9&gt;=Headlines!$B$19,1,0)</f>
        <v/>
      </c>
      <c r="O9" s="14">
        <f>IF(N9,L9/(1+Headlines!$B$18),L9)</f>
        <v/>
      </c>
      <c r="P9" s="14">
        <f>L9-O9</f>
        <v/>
      </c>
      <c r="Q9" s="14">
        <f>IF(N9=0,0,IF(B9=1,SUMIFS(P$5:P9,C$5:C9,C9-1,B$5:B9,"&gt;=10",B$5:B9,"&lt;=12"),IF(B9=4,SUMIFS(P$5:P9,C$5:C9,C9,B$5:B9,"&gt;=1",B$5:B9,"&lt;=3"),IF(B9=7,SUMIFS(P$5:P9,C$5:C9,C9,B$5:B9,"&gt;=4",B$5:B9,"&lt;=6"),IF(B9=10,SUMIFS(P$5:P9,C$5:C9,C9,B$5:B9,"&gt;=7",B$5:B9,"&lt;=9"),0)))))</f>
        <v/>
      </c>
      <c r="R9" s="14">
        <f>L9*Headlines!$B$11</f>
        <v/>
      </c>
      <c r="S9" s="14">
        <f>I9*Headlines!$B$12</f>
        <v/>
      </c>
      <c r="T9" s="14">
        <f>I9*Headlines!$B$13</f>
        <v/>
      </c>
      <c r="U9" s="14">
        <f>Headlines!$B$14</f>
        <v/>
      </c>
      <c r="V9" s="14">
        <f>G9</f>
        <v/>
      </c>
      <c r="W9" s="14">
        <f>O9-R9-S9-T9-U9-V9</f>
        <v/>
      </c>
      <c r="X9" s="14">
        <f>X8+L9-(R9+S9+T9+U9+V9+Q9)</f>
        <v/>
      </c>
      <c r="Y9" s="16">
        <f>F9</f>
        <v/>
      </c>
    </row>
    <row r="10">
      <c r="A10" t="n">
        <v>6</v>
      </c>
      <c r="B10">
        <f>MOD(A10-1+Headlines!$B$21-1,12)+1</f>
        <v/>
      </c>
      <c r="C10">
        <f>INT((A10-1+Headlines!$B$21-1)/12)+1</f>
        <v/>
      </c>
      <c r="D10">
        <f>VLOOKUP(B10,Headlines!$A$41:$B$52,2,FALSE)</f>
        <v/>
      </c>
      <c r="E10">
        <f>(1+Headlines!$B$20)^INT((A10-1)/12)</f>
        <v/>
      </c>
      <c r="F10">
        <f>Headlines!$B$10*VLOOKUP(B10,Headlines!$A$41:$C$52,3,FALSE)</f>
        <v/>
      </c>
      <c r="G10" s="14">
        <f>Headlines!$B$15</f>
        <v/>
      </c>
      <c r="H10" s="15">
        <f>IF(G10&gt;0,MAX(1,ROUND(G10/Headlines!$B$9*D10,0)),0)</f>
        <v/>
      </c>
      <c r="I10" s="15">
        <f>H10+H9+H8+MAX(0,I9-H9-H8)*(1-F10)</f>
        <v/>
      </c>
      <c r="J10" s="14">
        <f>I10*Headlines!$B$8*E10</f>
        <v/>
      </c>
      <c r="K10" s="14">
        <f>J10*12</f>
        <v/>
      </c>
      <c r="L10" s="14">
        <f>J10</f>
        <v/>
      </c>
      <c r="M10" s="14">
        <f>SUM(L$5:L10)</f>
        <v/>
      </c>
      <c r="N10">
        <f>IF(M10&gt;=Headlines!$B$19,1,0)</f>
        <v/>
      </c>
      <c r="O10" s="14">
        <f>IF(N10,L10/(1+Headlines!$B$18),L10)</f>
        <v/>
      </c>
      <c r="P10" s="14">
        <f>L10-O10</f>
        <v/>
      </c>
      <c r="Q10" s="14">
        <f>IF(N10=0,0,IF(B10=1,SUMIFS(P$5:P10,C$5:C10,C10-1,B$5:B10,"&gt;=10",B$5:B10,"&lt;=12"),IF(B10=4,SUMIFS(P$5:P10,C$5:C10,C10,B$5:B10,"&gt;=1",B$5:B10,"&lt;=3"),IF(B10=7,SUMIFS(P$5:P10,C$5:C10,C10,B$5:B10,"&gt;=4",B$5:B10,"&lt;=6"),IF(B10=10,SUMIFS(P$5:P10,C$5:C10,C10,B$5:B10,"&gt;=7",B$5:B10,"&lt;=9"),0)))))</f>
        <v/>
      </c>
      <c r="R10" s="14">
        <f>L10*Headlines!$B$11</f>
        <v/>
      </c>
      <c r="S10" s="14">
        <f>I10*Headlines!$B$12</f>
        <v/>
      </c>
      <c r="T10" s="14">
        <f>I10*Headlines!$B$13</f>
        <v/>
      </c>
      <c r="U10" s="14">
        <f>Headlines!$B$14</f>
        <v/>
      </c>
      <c r="V10" s="14">
        <f>G10</f>
        <v/>
      </c>
      <c r="W10" s="14">
        <f>O10-R10-S10-T10-U10-V10</f>
        <v/>
      </c>
      <c r="X10" s="14">
        <f>X9+L10-(R10+S10+T10+U10+V10+Q10)</f>
        <v/>
      </c>
      <c r="Y10" s="16">
        <f>F10</f>
        <v/>
      </c>
    </row>
    <row r="11">
      <c r="A11" t="n">
        <v>7</v>
      </c>
      <c r="B11">
        <f>MOD(A11-1+Headlines!$B$21-1,12)+1</f>
        <v/>
      </c>
      <c r="C11">
        <f>INT((A11-1+Headlines!$B$21-1)/12)+1</f>
        <v/>
      </c>
      <c r="D11">
        <f>VLOOKUP(B11,Headlines!$A$41:$B$52,2,FALSE)</f>
        <v/>
      </c>
      <c r="E11">
        <f>(1+Headlines!$B$20)^INT((A11-1)/12)</f>
        <v/>
      </c>
      <c r="F11">
        <f>Headlines!$B$10*VLOOKUP(B11,Headlines!$A$41:$C$52,3,FALSE)</f>
        <v/>
      </c>
      <c r="G11" s="14">
        <f>Headlines!$B$15</f>
        <v/>
      </c>
      <c r="H11" s="15">
        <f>IF(G11&gt;0,MAX(1,ROUND(G11/Headlines!$B$9*D11,0)),0)</f>
        <v/>
      </c>
      <c r="I11" s="15">
        <f>H11+H10+H9+MAX(0,I10-H10-H9)*(1-F11)</f>
        <v/>
      </c>
      <c r="J11" s="14">
        <f>I11*Headlines!$B$8*E11</f>
        <v/>
      </c>
      <c r="K11" s="14">
        <f>J11*12</f>
        <v/>
      </c>
      <c r="L11" s="14">
        <f>J11</f>
        <v/>
      </c>
      <c r="M11" s="14">
        <f>SUM(L$5:L11)</f>
        <v/>
      </c>
      <c r="N11">
        <f>IF(M11&gt;=Headlines!$B$19,1,0)</f>
        <v/>
      </c>
      <c r="O11" s="14">
        <f>IF(N11,L11/(1+Headlines!$B$18),L11)</f>
        <v/>
      </c>
      <c r="P11" s="14">
        <f>L11-O11</f>
        <v/>
      </c>
      <c r="Q11" s="14">
        <f>IF(N11=0,0,IF(B11=1,SUMIFS(P$5:P11,C$5:C11,C11-1,B$5:B11,"&gt;=10",B$5:B11,"&lt;=12"),IF(B11=4,SUMIFS(P$5:P11,C$5:C11,C11,B$5:B11,"&gt;=1",B$5:B11,"&lt;=3"),IF(B11=7,SUMIFS(P$5:P11,C$5:C11,C11,B$5:B11,"&gt;=4",B$5:B11,"&lt;=6"),IF(B11=10,SUMIFS(P$5:P11,C$5:C11,C11,B$5:B11,"&gt;=7",B$5:B11,"&lt;=9"),0)))))</f>
        <v/>
      </c>
      <c r="R11" s="14">
        <f>L11*Headlines!$B$11</f>
        <v/>
      </c>
      <c r="S11" s="14">
        <f>I11*Headlines!$B$12</f>
        <v/>
      </c>
      <c r="T11" s="14">
        <f>I11*Headlines!$B$13</f>
        <v/>
      </c>
      <c r="U11" s="14">
        <f>Headlines!$B$14</f>
        <v/>
      </c>
      <c r="V11" s="14">
        <f>G11</f>
        <v/>
      </c>
      <c r="W11" s="14">
        <f>O11-R11-S11-T11-U11-V11</f>
        <v/>
      </c>
      <c r="X11" s="14">
        <f>X10+L11-(R11+S11+T11+U11+V11+Q11)</f>
        <v/>
      </c>
      <c r="Y11" s="16">
        <f>F11</f>
        <v/>
      </c>
    </row>
    <row r="12">
      <c r="A12" t="n">
        <v>8</v>
      </c>
      <c r="B12">
        <f>MOD(A12-1+Headlines!$B$21-1,12)+1</f>
        <v/>
      </c>
      <c r="C12">
        <f>INT((A12-1+Headlines!$B$21-1)/12)+1</f>
        <v/>
      </c>
      <c r="D12">
        <f>VLOOKUP(B12,Headlines!$A$41:$B$52,2,FALSE)</f>
        <v/>
      </c>
      <c r="E12">
        <f>(1+Headlines!$B$20)^INT((A12-1)/12)</f>
        <v/>
      </c>
      <c r="F12">
        <f>Headlines!$B$10*VLOOKUP(B12,Headlines!$A$41:$C$52,3,FALSE)</f>
        <v/>
      </c>
      <c r="G12" s="14">
        <f>Headlines!$B$15</f>
        <v/>
      </c>
      <c r="H12" s="15">
        <f>IF(G12&gt;0,MAX(1,ROUND(G12/Headlines!$B$9*D12,0)),0)</f>
        <v/>
      </c>
      <c r="I12" s="15">
        <f>H12+H11+H10+MAX(0,I11-H11-H10)*(1-F12)</f>
        <v/>
      </c>
      <c r="J12" s="14">
        <f>I12*Headlines!$B$8*E12</f>
        <v/>
      </c>
      <c r="K12" s="14">
        <f>J12*12</f>
        <v/>
      </c>
      <c r="L12" s="14">
        <f>J12</f>
        <v/>
      </c>
      <c r="M12" s="14">
        <f>SUM(L$5:L12)</f>
        <v/>
      </c>
      <c r="N12">
        <f>IF(M12&gt;=Headlines!$B$19,1,0)</f>
        <v/>
      </c>
      <c r="O12" s="14">
        <f>IF(N12,L12/(1+Headlines!$B$18),L12)</f>
        <v/>
      </c>
      <c r="P12" s="14">
        <f>L12-O12</f>
        <v/>
      </c>
      <c r="Q12" s="14">
        <f>IF(N12=0,0,IF(B12=1,SUMIFS(P$5:P12,C$5:C12,C12-1,B$5:B12,"&gt;=10",B$5:B12,"&lt;=12"),IF(B12=4,SUMIFS(P$5:P12,C$5:C12,C12,B$5:B12,"&gt;=1",B$5:B12,"&lt;=3"),IF(B12=7,SUMIFS(P$5:P12,C$5:C12,C12,B$5:B12,"&gt;=4",B$5:B12,"&lt;=6"),IF(B12=10,SUMIFS(P$5:P12,C$5:C12,C12,B$5:B12,"&gt;=7",B$5:B12,"&lt;=9"),0)))))</f>
        <v/>
      </c>
      <c r="R12" s="14">
        <f>L12*Headlines!$B$11</f>
        <v/>
      </c>
      <c r="S12" s="14">
        <f>I12*Headlines!$B$12</f>
        <v/>
      </c>
      <c r="T12" s="14">
        <f>I12*Headlines!$B$13</f>
        <v/>
      </c>
      <c r="U12" s="14">
        <f>Headlines!$B$14</f>
        <v/>
      </c>
      <c r="V12" s="14">
        <f>G12</f>
        <v/>
      </c>
      <c r="W12" s="14">
        <f>O12-R12-S12-T12-U12-V12</f>
        <v/>
      </c>
      <c r="X12" s="14">
        <f>X11+L12-(R12+S12+T12+U12+V12+Q12)</f>
        <v/>
      </c>
      <c r="Y12" s="16">
        <f>F12</f>
        <v/>
      </c>
    </row>
    <row r="13">
      <c r="A13" t="n">
        <v>9</v>
      </c>
      <c r="B13">
        <f>MOD(A13-1+Headlines!$B$21-1,12)+1</f>
        <v/>
      </c>
      <c r="C13">
        <f>INT((A13-1+Headlines!$B$21-1)/12)+1</f>
        <v/>
      </c>
      <c r="D13">
        <f>VLOOKUP(B13,Headlines!$A$41:$B$52,2,FALSE)</f>
        <v/>
      </c>
      <c r="E13">
        <f>(1+Headlines!$B$20)^INT((A13-1)/12)</f>
        <v/>
      </c>
      <c r="F13">
        <f>Headlines!$B$10*VLOOKUP(B13,Headlines!$A$41:$C$52,3,FALSE)</f>
        <v/>
      </c>
      <c r="G13" s="14">
        <f>Headlines!$B$15</f>
        <v/>
      </c>
      <c r="H13" s="15">
        <f>IF(G13&gt;0,MAX(1,ROUND(G13/Headlines!$B$9*D13,0)),0)</f>
        <v/>
      </c>
      <c r="I13" s="15">
        <f>H13+H12+H11+MAX(0,I12-H12-H11)*(1-F13)</f>
        <v/>
      </c>
      <c r="J13" s="14">
        <f>I13*Headlines!$B$8*E13</f>
        <v/>
      </c>
      <c r="K13" s="14">
        <f>J13*12</f>
        <v/>
      </c>
      <c r="L13" s="14">
        <f>J13</f>
        <v/>
      </c>
      <c r="M13" s="14">
        <f>SUM(L$5:L13)</f>
        <v/>
      </c>
      <c r="N13">
        <f>IF(M13&gt;=Headlines!$B$19,1,0)</f>
        <v/>
      </c>
      <c r="O13" s="14">
        <f>IF(N13,L13/(1+Headlines!$B$18),L13)</f>
        <v/>
      </c>
      <c r="P13" s="14">
        <f>L13-O13</f>
        <v/>
      </c>
      <c r="Q13" s="14">
        <f>IF(N13=0,0,IF(B13=1,SUMIFS(P$5:P13,C$5:C13,C13-1,B$5:B13,"&gt;=10",B$5:B13,"&lt;=12"),IF(B13=4,SUMIFS(P$5:P13,C$5:C13,C13,B$5:B13,"&gt;=1",B$5:B13,"&lt;=3"),IF(B13=7,SUMIFS(P$5:P13,C$5:C13,C13,B$5:B13,"&gt;=4",B$5:B13,"&lt;=6"),IF(B13=10,SUMIFS(P$5:P13,C$5:C13,C13,B$5:B13,"&gt;=7",B$5:B13,"&lt;=9"),0)))))</f>
        <v/>
      </c>
      <c r="R13" s="14">
        <f>L13*Headlines!$B$11</f>
        <v/>
      </c>
      <c r="S13" s="14">
        <f>I13*Headlines!$B$12</f>
        <v/>
      </c>
      <c r="T13" s="14">
        <f>I13*Headlines!$B$13</f>
        <v/>
      </c>
      <c r="U13" s="14">
        <f>Headlines!$B$14</f>
        <v/>
      </c>
      <c r="V13" s="14">
        <f>G13</f>
        <v/>
      </c>
      <c r="W13" s="14">
        <f>O13-R13-S13-T13-U13-V13</f>
        <v/>
      </c>
      <c r="X13" s="14">
        <f>X12+L13-(R13+S13+T13+U13+V13+Q13)</f>
        <v/>
      </c>
      <c r="Y13" s="16">
        <f>F13</f>
        <v/>
      </c>
    </row>
    <row r="14">
      <c r="A14" t="n">
        <v>10</v>
      </c>
      <c r="B14">
        <f>MOD(A14-1+Headlines!$B$21-1,12)+1</f>
        <v/>
      </c>
      <c r="C14">
        <f>INT((A14-1+Headlines!$B$21-1)/12)+1</f>
        <v/>
      </c>
      <c r="D14">
        <f>VLOOKUP(B14,Headlines!$A$41:$B$52,2,FALSE)</f>
        <v/>
      </c>
      <c r="E14">
        <f>(1+Headlines!$B$20)^INT((A14-1)/12)</f>
        <v/>
      </c>
      <c r="F14">
        <f>Headlines!$B$10*VLOOKUP(B14,Headlines!$A$41:$C$52,3,FALSE)</f>
        <v/>
      </c>
      <c r="G14" s="14">
        <f>Headlines!$B$15</f>
        <v/>
      </c>
      <c r="H14" s="15">
        <f>IF(G14&gt;0,MAX(1,ROUND(G14/Headlines!$B$9*D14,0)),0)</f>
        <v/>
      </c>
      <c r="I14" s="15">
        <f>H14+H13+H12+MAX(0,I13-H13-H12)*(1-F14)</f>
        <v/>
      </c>
      <c r="J14" s="14">
        <f>I14*Headlines!$B$8*E14</f>
        <v/>
      </c>
      <c r="K14" s="14">
        <f>J14*12</f>
        <v/>
      </c>
      <c r="L14" s="14">
        <f>J14</f>
        <v/>
      </c>
      <c r="M14" s="14">
        <f>SUM(L$5:L14)</f>
        <v/>
      </c>
      <c r="N14">
        <f>IF(M14&gt;=Headlines!$B$19,1,0)</f>
        <v/>
      </c>
      <c r="O14" s="14">
        <f>IF(N14,L14/(1+Headlines!$B$18),L14)</f>
        <v/>
      </c>
      <c r="P14" s="14">
        <f>L14-O14</f>
        <v/>
      </c>
      <c r="Q14" s="14">
        <f>IF(N14=0,0,IF(B14=1,SUMIFS(P$5:P14,C$5:C14,C14-1,B$5:B14,"&gt;=10",B$5:B14,"&lt;=12"),IF(B14=4,SUMIFS(P$5:P14,C$5:C14,C14,B$5:B14,"&gt;=1",B$5:B14,"&lt;=3"),IF(B14=7,SUMIFS(P$5:P14,C$5:C14,C14,B$5:B14,"&gt;=4",B$5:B14,"&lt;=6"),IF(B14=10,SUMIFS(P$5:P14,C$5:C14,C14,B$5:B14,"&gt;=7",B$5:B14,"&lt;=9"),0)))))</f>
        <v/>
      </c>
      <c r="R14" s="14">
        <f>L14*Headlines!$B$11</f>
        <v/>
      </c>
      <c r="S14" s="14">
        <f>I14*Headlines!$B$12</f>
        <v/>
      </c>
      <c r="T14" s="14">
        <f>I14*Headlines!$B$13</f>
        <v/>
      </c>
      <c r="U14" s="14">
        <f>Headlines!$B$14</f>
        <v/>
      </c>
      <c r="V14" s="14">
        <f>G14</f>
        <v/>
      </c>
      <c r="W14" s="14">
        <f>O14-R14-S14-T14-U14-V14</f>
        <v/>
      </c>
      <c r="X14" s="14">
        <f>X13+L14-(R14+S14+T14+U14+V14+Q14)</f>
        <v/>
      </c>
      <c r="Y14" s="16">
        <f>F14</f>
        <v/>
      </c>
    </row>
    <row r="15">
      <c r="A15" t="n">
        <v>11</v>
      </c>
      <c r="B15">
        <f>MOD(A15-1+Headlines!$B$21-1,12)+1</f>
        <v/>
      </c>
      <c r="C15">
        <f>INT((A15-1+Headlines!$B$21-1)/12)+1</f>
        <v/>
      </c>
      <c r="D15">
        <f>VLOOKUP(B15,Headlines!$A$41:$B$52,2,FALSE)</f>
        <v/>
      </c>
      <c r="E15">
        <f>(1+Headlines!$B$20)^INT((A15-1)/12)</f>
        <v/>
      </c>
      <c r="F15">
        <f>Headlines!$B$10*VLOOKUP(B15,Headlines!$A$41:$C$52,3,FALSE)</f>
        <v/>
      </c>
      <c r="G15" s="14">
        <f>Headlines!$B$15</f>
        <v/>
      </c>
      <c r="H15" s="15">
        <f>IF(G15&gt;0,MAX(1,ROUND(G15/Headlines!$B$9*D15,0)),0)</f>
        <v/>
      </c>
      <c r="I15" s="15">
        <f>H15+H14+H13+MAX(0,I14-H14-H13)*(1-F15)</f>
        <v/>
      </c>
      <c r="J15" s="14">
        <f>I15*Headlines!$B$8*E15</f>
        <v/>
      </c>
      <c r="K15" s="14">
        <f>J15*12</f>
        <v/>
      </c>
      <c r="L15" s="14">
        <f>J15</f>
        <v/>
      </c>
      <c r="M15" s="14">
        <f>SUM(L$5:L15)</f>
        <v/>
      </c>
      <c r="N15">
        <f>IF(M15&gt;=Headlines!$B$19,1,0)</f>
        <v/>
      </c>
      <c r="O15" s="14">
        <f>IF(N15,L15/(1+Headlines!$B$18),L15)</f>
        <v/>
      </c>
      <c r="P15" s="14">
        <f>L15-O15</f>
        <v/>
      </c>
      <c r="Q15" s="14">
        <f>IF(N15=0,0,IF(B15=1,SUMIFS(P$5:P15,C$5:C15,C15-1,B$5:B15,"&gt;=10",B$5:B15,"&lt;=12"),IF(B15=4,SUMIFS(P$5:P15,C$5:C15,C15,B$5:B15,"&gt;=1",B$5:B15,"&lt;=3"),IF(B15=7,SUMIFS(P$5:P15,C$5:C15,C15,B$5:B15,"&gt;=4",B$5:B15,"&lt;=6"),IF(B15=10,SUMIFS(P$5:P15,C$5:C15,C15,B$5:B15,"&gt;=7",B$5:B15,"&lt;=9"),0)))))</f>
        <v/>
      </c>
      <c r="R15" s="14">
        <f>L15*Headlines!$B$11</f>
        <v/>
      </c>
      <c r="S15" s="14">
        <f>I15*Headlines!$B$12</f>
        <v/>
      </c>
      <c r="T15" s="14">
        <f>I15*Headlines!$B$13</f>
        <v/>
      </c>
      <c r="U15" s="14">
        <f>Headlines!$B$14</f>
        <v/>
      </c>
      <c r="V15" s="14">
        <f>G15</f>
        <v/>
      </c>
      <c r="W15" s="14">
        <f>O15-R15-S15-T15-U15-V15</f>
        <v/>
      </c>
      <c r="X15" s="14">
        <f>X14+L15-(R15+S15+T15+U15+V15+Q15)</f>
        <v/>
      </c>
      <c r="Y15" s="16">
        <f>F15</f>
        <v/>
      </c>
    </row>
    <row r="16">
      <c r="A16" t="n">
        <v>12</v>
      </c>
      <c r="B16">
        <f>MOD(A16-1+Headlines!$B$21-1,12)+1</f>
        <v/>
      </c>
      <c r="C16">
        <f>INT((A16-1+Headlines!$B$21-1)/12)+1</f>
        <v/>
      </c>
      <c r="D16">
        <f>VLOOKUP(B16,Headlines!$A$41:$B$52,2,FALSE)</f>
        <v/>
      </c>
      <c r="E16">
        <f>(1+Headlines!$B$20)^INT((A16-1)/12)</f>
        <v/>
      </c>
      <c r="F16">
        <f>Headlines!$B$10*VLOOKUP(B16,Headlines!$A$41:$C$52,3,FALSE)</f>
        <v/>
      </c>
      <c r="G16" s="14">
        <f>Headlines!$B$15</f>
        <v/>
      </c>
      <c r="H16" s="15">
        <f>IF(G16&gt;0,MAX(1,ROUND(G16/Headlines!$B$9*D16,0)),0)</f>
        <v/>
      </c>
      <c r="I16" s="15">
        <f>H16+H15+H14+MAX(0,I15-H15-H14)*(1-F16)</f>
        <v/>
      </c>
      <c r="J16" s="14">
        <f>I16*Headlines!$B$8*E16</f>
        <v/>
      </c>
      <c r="K16" s="14">
        <f>J16*12</f>
        <v/>
      </c>
      <c r="L16" s="14">
        <f>J16</f>
        <v/>
      </c>
      <c r="M16" s="14">
        <f>SUM(L5:L16)</f>
        <v/>
      </c>
      <c r="N16">
        <f>IF(M16&gt;=Headlines!$B$19,1,0)</f>
        <v/>
      </c>
      <c r="O16" s="14">
        <f>IF(N16,L16/(1+Headlines!$B$18),L16)</f>
        <v/>
      </c>
      <c r="P16" s="14">
        <f>L16-O16</f>
        <v/>
      </c>
      <c r="Q16" s="14">
        <f>IF(N16=0,0,IF(B16=1,SUMIFS(P$5:P16,C$5:C16,C16-1,B$5:B16,"&gt;=10",B$5:B16,"&lt;=12"),IF(B16=4,SUMIFS(P$5:P16,C$5:C16,C16,B$5:B16,"&gt;=1",B$5:B16,"&lt;=3"),IF(B16=7,SUMIFS(P$5:P16,C$5:C16,C16,B$5:B16,"&gt;=4",B$5:B16,"&lt;=6"),IF(B16=10,SUMIFS(P$5:P16,C$5:C16,C16,B$5:B16,"&gt;=7",B$5:B16,"&lt;=9"),0)))))</f>
        <v/>
      </c>
      <c r="R16" s="14">
        <f>L16*Headlines!$B$11</f>
        <v/>
      </c>
      <c r="S16" s="14">
        <f>I16*Headlines!$B$12</f>
        <v/>
      </c>
      <c r="T16" s="14">
        <f>I16*Headlines!$B$13</f>
        <v/>
      </c>
      <c r="U16" s="14">
        <f>Headlines!$B$14</f>
        <v/>
      </c>
      <c r="V16" s="14">
        <f>G16</f>
        <v/>
      </c>
      <c r="W16" s="14">
        <f>O16-R16-S16-T16-U16-V16</f>
        <v/>
      </c>
      <c r="X16" s="14">
        <f>X15+L16-(R16+S16+T16+U16+V16+Q16)</f>
        <v/>
      </c>
      <c r="Y16" s="16">
        <f>F16</f>
        <v/>
      </c>
    </row>
    <row r="17">
      <c r="A17" t="n">
        <v>13</v>
      </c>
      <c r="B17">
        <f>MOD(A17-1+Headlines!$B$21-1,12)+1</f>
        <v/>
      </c>
      <c r="C17">
        <f>INT((A17-1+Headlines!$B$21-1)/12)+1</f>
        <v/>
      </c>
      <c r="D17">
        <f>VLOOKUP(B17,Headlines!$A$41:$B$52,2,FALSE)</f>
        <v/>
      </c>
      <c r="E17">
        <f>(1+Headlines!$B$20)^INT((A17-1)/12)</f>
        <v/>
      </c>
      <c r="F17">
        <f>Headlines!$B$10*VLOOKUP(B17,Headlines!$A$41:$C$52,3,FALSE)</f>
        <v/>
      </c>
      <c r="G17" s="14">
        <f>Headlines!$B$15</f>
        <v/>
      </c>
      <c r="H17" s="15">
        <f>IF(G17&gt;0,MAX(1,ROUND(G17/Headlines!$B$9*D17,0)),0)</f>
        <v/>
      </c>
      <c r="I17" s="15">
        <f>H17+H16+H15+MAX(0,I16-H16-H15)*(1-F17)</f>
        <v/>
      </c>
      <c r="J17" s="14">
        <f>I17*Headlines!$B$8*E17</f>
        <v/>
      </c>
      <c r="K17" s="14">
        <f>J17*12</f>
        <v/>
      </c>
      <c r="L17" s="14">
        <f>J17</f>
        <v/>
      </c>
      <c r="M17" s="14">
        <f>SUM(L6:L17)</f>
        <v/>
      </c>
      <c r="N17">
        <f>IF(M17&gt;=Headlines!$B$19,1,0)</f>
        <v/>
      </c>
      <c r="O17" s="14">
        <f>IF(N17,L17/(1+Headlines!$B$18),L17)</f>
        <v/>
      </c>
      <c r="P17" s="14">
        <f>L17-O17</f>
        <v/>
      </c>
      <c r="Q17" s="14">
        <f>IF(N17=0,0,IF(B17=1,SUMIFS(P$5:P17,C$5:C17,C17-1,B$5:B17,"&gt;=10",B$5:B17,"&lt;=12"),IF(B17=4,SUMIFS(P$5:P17,C$5:C17,C17,B$5:B17,"&gt;=1",B$5:B17,"&lt;=3"),IF(B17=7,SUMIFS(P$5:P17,C$5:C17,C17,B$5:B17,"&gt;=4",B$5:B17,"&lt;=6"),IF(B17=10,SUMIFS(P$5:P17,C$5:C17,C17,B$5:B17,"&gt;=7",B$5:B17,"&lt;=9"),0)))))</f>
        <v/>
      </c>
      <c r="R17" s="14">
        <f>L17*Headlines!$B$11</f>
        <v/>
      </c>
      <c r="S17" s="14">
        <f>I17*Headlines!$B$12</f>
        <v/>
      </c>
      <c r="T17" s="14">
        <f>I17*Headlines!$B$13</f>
        <v/>
      </c>
      <c r="U17" s="14">
        <f>Headlines!$B$14</f>
        <v/>
      </c>
      <c r="V17" s="14">
        <f>G17</f>
        <v/>
      </c>
      <c r="W17" s="14">
        <f>O17-R17-S17-T17-U17-V17</f>
        <v/>
      </c>
      <c r="X17" s="14">
        <f>X16+L17-(R17+S17+T17+U17+V17+Q17)</f>
        <v/>
      </c>
      <c r="Y17" s="16">
        <f>F17</f>
        <v/>
      </c>
    </row>
    <row r="18">
      <c r="A18" t="n">
        <v>14</v>
      </c>
      <c r="B18">
        <f>MOD(A18-1+Headlines!$B$21-1,12)+1</f>
        <v/>
      </c>
      <c r="C18">
        <f>INT((A18-1+Headlines!$B$21-1)/12)+1</f>
        <v/>
      </c>
      <c r="D18">
        <f>VLOOKUP(B18,Headlines!$A$41:$B$52,2,FALSE)</f>
        <v/>
      </c>
      <c r="E18">
        <f>(1+Headlines!$B$20)^INT((A18-1)/12)</f>
        <v/>
      </c>
      <c r="F18">
        <f>Headlines!$B$10*VLOOKUP(B18,Headlines!$A$41:$C$52,3,FALSE)</f>
        <v/>
      </c>
      <c r="G18" s="14">
        <f>Headlines!$B$15</f>
        <v/>
      </c>
      <c r="H18" s="15">
        <f>IF(G18&gt;0,MAX(1,ROUND(G18/Headlines!$B$9*D18,0)),0)</f>
        <v/>
      </c>
      <c r="I18" s="15">
        <f>H18+H17+H16+MAX(0,I17-H17-H16)*(1-F18)</f>
        <v/>
      </c>
      <c r="J18" s="14">
        <f>I18*Headlines!$B$8*E18</f>
        <v/>
      </c>
      <c r="K18" s="14">
        <f>J18*12</f>
        <v/>
      </c>
      <c r="L18" s="14">
        <f>J18</f>
        <v/>
      </c>
      <c r="M18" s="14">
        <f>SUM(L7:L18)</f>
        <v/>
      </c>
      <c r="N18">
        <f>IF(M18&gt;=Headlines!$B$19,1,0)</f>
        <v/>
      </c>
      <c r="O18" s="14">
        <f>IF(N18,L18/(1+Headlines!$B$18),L18)</f>
        <v/>
      </c>
      <c r="P18" s="14">
        <f>L18-O18</f>
        <v/>
      </c>
      <c r="Q18" s="14">
        <f>IF(N18=0,0,IF(B18=1,SUMIFS(P$5:P18,C$5:C18,C18-1,B$5:B18,"&gt;=10",B$5:B18,"&lt;=12"),IF(B18=4,SUMIFS(P$5:P18,C$5:C18,C18,B$5:B18,"&gt;=1",B$5:B18,"&lt;=3"),IF(B18=7,SUMIFS(P$5:P18,C$5:C18,C18,B$5:B18,"&gt;=4",B$5:B18,"&lt;=6"),IF(B18=10,SUMIFS(P$5:P18,C$5:C18,C18,B$5:B18,"&gt;=7",B$5:B18,"&lt;=9"),0)))))</f>
        <v/>
      </c>
      <c r="R18" s="14">
        <f>L18*Headlines!$B$11</f>
        <v/>
      </c>
      <c r="S18" s="14">
        <f>I18*Headlines!$B$12</f>
        <v/>
      </c>
      <c r="T18" s="14">
        <f>I18*Headlines!$B$13</f>
        <v/>
      </c>
      <c r="U18" s="14">
        <f>Headlines!$B$14</f>
        <v/>
      </c>
      <c r="V18" s="14">
        <f>G18</f>
        <v/>
      </c>
      <c r="W18" s="14">
        <f>O18-R18-S18-T18-U18-V18</f>
        <v/>
      </c>
      <c r="X18" s="14">
        <f>X17+L18-(R18+S18+T18+U18+V18+Q18)</f>
        <v/>
      </c>
      <c r="Y18" s="16">
        <f>F18</f>
        <v/>
      </c>
    </row>
    <row r="19">
      <c r="A19" t="n">
        <v>15</v>
      </c>
      <c r="B19">
        <f>MOD(A19-1+Headlines!$B$21-1,12)+1</f>
        <v/>
      </c>
      <c r="C19">
        <f>INT((A19-1+Headlines!$B$21-1)/12)+1</f>
        <v/>
      </c>
      <c r="D19">
        <f>VLOOKUP(B19,Headlines!$A$41:$B$52,2,FALSE)</f>
        <v/>
      </c>
      <c r="E19">
        <f>(1+Headlines!$B$20)^INT((A19-1)/12)</f>
        <v/>
      </c>
      <c r="F19">
        <f>Headlines!$B$10*VLOOKUP(B19,Headlines!$A$41:$C$52,3,FALSE)</f>
        <v/>
      </c>
      <c r="G19" s="14">
        <f>Headlines!$B$15</f>
        <v/>
      </c>
      <c r="H19" s="15">
        <f>IF(G19&gt;0,MAX(1,ROUND(G19/Headlines!$B$9*D19,0)),0)</f>
        <v/>
      </c>
      <c r="I19" s="15">
        <f>H19+H18+H17+MAX(0,I18-H18-H17)*(1-F19)</f>
        <v/>
      </c>
      <c r="J19" s="14">
        <f>I19*Headlines!$B$8*E19</f>
        <v/>
      </c>
      <c r="K19" s="14">
        <f>J19*12</f>
        <v/>
      </c>
      <c r="L19" s="14">
        <f>J19</f>
        <v/>
      </c>
      <c r="M19" s="14">
        <f>SUM(L8:L19)</f>
        <v/>
      </c>
      <c r="N19">
        <f>IF(M19&gt;=Headlines!$B$19,1,0)</f>
        <v/>
      </c>
      <c r="O19" s="14">
        <f>IF(N19,L19/(1+Headlines!$B$18),L19)</f>
        <v/>
      </c>
      <c r="P19" s="14">
        <f>L19-O19</f>
        <v/>
      </c>
      <c r="Q19" s="14">
        <f>IF(N19=0,0,IF(B19=1,SUMIFS(P$5:P19,C$5:C19,C19-1,B$5:B19,"&gt;=10",B$5:B19,"&lt;=12"),IF(B19=4,SUMIFS(P$5:P19,C$5:C19,C19,B$5:B19,"&gt;=1",B$5:B19,"&lt;=3"),IF(B19=7,SUMIFS(P$5:P19,C$5:C19,C19,B$5:B19,"&gt;=4",B$5:B19,"&lt;=6"),IF(B19=10,SUMIFS(P$5:P19,C$5:C19,C19,B$5:B19,"&gt;=7",B$5:B19,"&lt;=9"),0)))))</f>
        <v/>
      </c>
      <c r="R19" s="14">
        <f>L19*Headlines!$B$11</f>
        <v/>
      </c>
      <c r="S19" s="14">
        <f>I19*Headlines!$B$12</f>
        <v/>
      </c>
      <c r="T19" s="14">
        <f>I19*Headlines!$B$13</f>
        <v/>
      </c>
      <c r="U19" s="14">
        <f>Headlines!$B$14</f>
        <v/>
      </c>
      <c r="V19" s="14">
        <f>G19</f>
        <v/>
      </c>
      <c r="W19" s="14">
        <f>O19-R19-S19-T19-U19-V19</f>
        <v/>
      </c>
      <c r="X19" s="14">
        <f>X18+L19-(R19+S19+T19+U19+V19+Q19)</f>
        <v/>
      </c>
      <c r="Y19" s="16">
        <f>F19</f>
        <v/>
      </c>
    </row>
    <row r="20">
      <c r="A20" t="n">
        <v>16</v>
      </c>
      <c r="B20">
        <f>MOD(A20-1+Headlines!$B$21-1,12)+1</f>
        <v/>
      </c>
      <c r="C20">
        <f>INT((A20-1+Headlines!$B$21-1)/12)+1</f>
        <v/>
      </c>
      <c r="D20">
        <f>VLOOKUP(B20,Headlines!$A$41:$B$52,2,FALSE)</f>
        <v/>
      </c>
      <c r="E20">
        <f>(1+Headlines!$B$20)^INT((A20-1)/12)</f>
        <v/>
      </c>
      <c r="F20">
        <f>Headlines!$B$10*VLOOKUP(B20,Headlines!$A$41:$C$52,3,FALSE)</f>
        <v/>
      </c>
      <c r="G20" s="14">
        <f>Headlines!$B$15</f>
        <v/>
      </c>
      <c r="H20" s="15">
        <f>IF(G20&gt;0,MAX(1,ROUND(G20/Headlines!$B$9*D20,0)),0)</f>
        <v/>
      </c>
      <c r="I20" s="15">
        <f>H20+H19+H18+MAX(0,I19-H19-H18)*(1-F20)</f>
        <v/>
      </c>
      <c r="J20" s="14">
        <f>I20*Headlines!$B$8*E20</f>
        <v/>
      </c>
      <c r="K20" s="14">
        <f>J20*12</f>
        <v/>
      </c>
      <c r="L20" s="14">
        <f>J20</f>
        <v/>
      </c>
      <c r="M20" s="14">
        <f>SUM(L9:L20)</f>
        <v/>
      </c>
      <c r="N20">
        <f>IF(M20&gt;=Headlines!$B$19,1,0)</f>
        <v/>
      </c>
      <c r="O20" s="14">
        <f>IF(N20,L20/(1+Headlines!$B$18),L20)</f>
        <v/>
      </c>
      <c r="P20" s="14">
        <f>L20-O20</f>
        <v/>
      </c>
      <c r="Q20" s="14">
        <f>IF(N20=0,0,IF(B20=1,SUMIFS(P$5:P20,C$5:C20,C20-1,B$5:B20,"&gt;=10",B$5:B20,"&lt;=12"),IF(B20=4,SUMIFS(P$5:P20,C$5:C20,C20,B$5:B20,"&gt;=1",B$5:B20,"&lt;=3"),IF(B20=7,SUMIFS(P$5:P20,C$5:C20,C20,B$5:B20,"&gt;=4",B$5:B20,"&lt;=6"),IF(B20=10,SUMIFS(P$5:P20,C$5:C20,C20,B$5:B20,"&gt;=7",B$5:B20,"&lt;=9"),0)))))</f>
        <v/>
      </c>
      <c r="R20" s="14">
        <f>L20*Headlines!$B$11</f>
        <v/>
      </c>
      <c r="S20" s="14">
        <f>I20*Headlines!$B$12</f>
        <v/>
      </c>
      <c r="T20" s="14">
        <f>I20*Headlines!$B$13</f>
        <v/>
      </c>
      <c r="U20" s="14">
        <f>Headlines!$B$14</f>
        <v/>
      </c>
      <c r="V20" s="14">
        <f>G20</f>
        <v/>
      </c>
      <c r="W20" s="14">
        <f>O20-R20-S20-T20-U20-V20</f>
        <v/>
      </c>
      <c r="X20" s="14">
        <f>X19+L20-(R20+S20+T20+U20+V20+Q20)</f>
        <v/>
      </c>
      <c r="Y20" s="16">
        <f>F20</f>
        <v/>
      </c>
    </row>
    <row r="21">
      <c r="A21" t="n">
        <v>17</v>
      </c>
      <c r="B21">
        <f>MOD(A21-1+Headlines!$B$21-1,12)+1</f>
        <v/>
      </c>
      <c r="C21">
        <f>INT((A21-1+Headlines!$B$21-1)/12)+1</f>
        <v/>
      </c>
      <c r="D21">
        <f>VLOOKUP(B21,Headlines!$A$41:$B$52,2,FALSE)</f>
        <v/>
      </c>
      <c r="E21">
        <f>(1+Headlines!$B$20)^INT((A21-1)/12)</f>
        <v/>
      </c>
      <c r="F21">
        <f>Headlines!$B$10*VLOOKUP(B21,Headlines!$A$41:$C$52,3,FALSE)</f>
        <v/>
      </c>
      <c r="G21" s="14">
        <f>Headlines!$B$15</f>
        <v/>
      </c>
      <c r="H21" s="15">
        <f>IF(G21&gt;0,MAX(1,ROUND(G21/Headlines!$B$9*D21,0)),0)</f>
        <v/>
      </c>
      <c r="I21" s="15">
        <f>H21+H20+H19+MAX(0,I20-H20-H19)*(1-F21)</f>
        <v/>
      </c>
      <c r="J21" s="14">
        <f>I21*Headlines!$B$8*E21</f>
        <v/>
      </c>
      <c r="K21" s="14">
        <f>J21*12</f>
        <v/>
      </c>
      <c r="L21" s="14">
        <f>J21</f>
        <v/>
      </c>
      <c r="M21" s="14">
        <f>SUM(L10:L21)</f>
        <v/>
      </c>
      <c r="N21">
        <f>IF(M21&gt;=Headlines!$B$19,1,0)</f>
        <v/>
      </c>
      <c r="O21" s="14">
        <f>IF(N21,L21/(1+Headlines!$B$18),L21)</f>
        <v/>
      </c>
      <c r="P21" s="14">
        <f>L21-O21</f>
        <v/>
      </c>
      <c r="Q21" s="14">
        <f>IF(N21=0,0,IF(B21=1,SUMIFS(P$5:P21,C$5:C21,C21-1,B$5:B21,"&gt;=10",B$5:B21,"&lt;=12"),IF(B21=4,SUMIFS(P$5:P21,C$5:C21,C21,B$5:B21,"&gt;=1",B$5:B21,"&lt;=3"),IF(B21=7,SUMIFS(P$5:P21,C$5:C21,C21,B$5:B21,"&gt;=4",B$5:B21,"&lt;=6"),IF(B21=10,SUMIFS(P$5:P21,C$5:C21,C21,B$5:B21,"&gt;=7",B$5:B21,"&lt;=9"),0)))))</f>
        <v/>
      </c>
      <c r="R21" s="14">
        <f>L21*Headlines!$B$11</f>
        <v/>
      </c>
      <c r="S21" s="14">
        <f>I21*Headlines!$B$12</f>
        <v/>
      </c>
      <c r="T21" s="14">
        <f>I21*Headlines!$B$13</f>
        <v/>
      </c>
      <c r="U21" s="14">
        <f>Headlines!$B$14</f>
        <v/>
      </c>
      <c r="V21" s="14">
        <f>G21</f>
        <v/>
      </c>
      <c r="W21" s="14">
        <f>O21-R21-S21-T21-U21-V21</f>
        <v/>
      </c>
      <c r="X21" s="14">
        <f>X20+L21-(R21+S21+T21+U21+V21+Q21)</f>
        <v/>
      </c>
      <c r="Y21" s="16">
        <f>F21</f>
        <v/>
      </c>
    </row>
    <row r="22">
      <c r="A22" t="n">
        <v>18</v>
      </c>
      <c r="B22">
        <f>MOD(A22-1+Headlines!$B$21-1,12)+1</f>
        <v/>
      </c>
      <c r="C22">
        <f>INT((A22-1+Headlines!$B$21-1)/12)+1</f>
        <v/>
      </c>
      <c r="D22">
        <f>VLOOKUP(B22,Headlines!$A$41:$B$52,2,FALSE)</f>
        <v/>
      </c>
      <c r="E22">
        <f>(1+Headlines!$B$20)^INT((A22-1)/12)</f>
        <v/>
      </c>
      <c r="F22">
        <f>Headlines!$B$10*VLOOKUP(B22,Headlines!$A$41:$C$52,3,FALSE)</f>
        <v/>
      </c>
      <c r="G22" s="14">
        <f>Headlines!$B$15</f>
        <v/>
      </c>
      <c r="H22" s="15">
        <f>IF(G22&gt;0,MAX(1,ROUND(G22/Headlines!$B$9*D22,0)),0)</f>
        <v/>
      </c>
      <c r="I22" s="15">
        <f>H22+H21+H20+MAX(0,I21-H21-H20)*(1-F22)</f>
        <v/>
      </c>
      <c r="J22" s="14">
        <f>I22*Headlines!$B$8*E22</f>
        <v/>
      </c>
      <c r="K22" s="14">
        <f>J22*12</f>
        <v/>
      </c>
      <c r="L22" s="14">
        <f>J22</f>
        <v/>
      </c>
      <c r="M22" s="14">
        <f>SUM(L11:L22)</f>
        <v/>
      </c>
      <c r="N22">
        <f>IF(M22&gt;=Headlines!$B$19,1,0)</f>
        <v/>
      </c>
      <c r="O22" s="14">
        <f>IF(N22,L22/(1+Headlines!$B$18),L22)</f>
        <v/>
      </c>
      <c r="P22" s="14">
        <f>L22-O22</f>
        <v/>
      </c>
      <c r="Q22" s="14">
        <f>IF(N22=0,0,IF(B22=1,SUMIFS(P$5:P22,C$5:C22,C22-1,B$5:B22,"&gt;=10",B$5:B22,"&lt;=12"),IF(B22=4,SUMIFS(P$5:P22,C$5:C22,C22,B$5:B22,"&gt;=1",B$5:B22,"&lt;=3"),IF(B22=7,SUMIFS(P$5:P22,C$5:C22,C22,B$5:B22,"&gt;=4",B$5:B22,"&lt;=6"),IF(B22=10,SUMIFS(P$5:P22,C$5:C22,C22,B$5:B22,"&gt;=7",B$5:B22,"&lt;=9"),0)))))</f>
        <v/>
      </c>
      <c r="R22" s="14">
        <f>L22*Headlines!$B$11</f>
        <v/>
      </c>
      <c r="S22" s="14">
        <f>I22*Headlines!$B$12</f>
        <v/>
      </c>
      <c r="T22" s="14">
        <f>I22*Headlines!$B$13</f>
        <v/>
      </c>
      <c r="U22" s="14">
        <f>Headlines!$B$14</f>
        <v/>
      </c>
      <c r="V22" s="14">
        <f>G22</f>
        <v/>
      </c>
      <c r="W22" s="14">
        <f>O22-R22-S22-T22-U22-V22</f>
        <v/>
      </c>
      <c r="X22" s="14">
        <f>X21+L22-(R22+S22+T22+U22+V22+Q22)</f>
        <v/>
      </c>
      <c r="Y22" s="16">
        <f>F22</f>
        <v/>
      </c>
    </row>
    <row r="23">
      <c r="A23" t="n">
        <v>19</v>
      </c>
      <c r="B23">
        <f>MOD(A23-1+Headlines!$B$21-1,12)+1</f>
        <v/>
      </c>
      <c r="C23">
        <f>INT((A23-1+Headlines!$B$21-1)/12)+1</f>
        <v/>
      </c>
      <c r="D23">
        <f>VLOOKUP(B23,Headlines!$A$41:$B$52,2,FALSE)</f>
        <v/>
      </c>
      <c r="E23">
        <f>(1+Headlines!$B$20)^INT((A23-1)/12)</f>
        <v/>
      </c>
      <c r="F23">
        <f>Headlines!$B$10*VLOOKUP(B23,Headlines!$A$41:$C$52,3,FALSE)</f>
        <v/>
      </c>
      <c r="G23" s="14">
        <f>Headlines!$B$15</f>
        <v/>
      </c>
      <c r="H23" s="15">
        <f>IF(G23&gt;0,MAX(1,ROUND(G23/Headlines!$B$9*D23,0)),0)</f>
        <v/>
      </c>
      <c r="I23" s="15">
        <f>H23+H22+H21+MAX(0,I22-H22-H21)*(1-F23)</f>
        <v/>
      </c>
      <c r="J23" s="14">
        <f>I23*Headlines!$B$8*E23</f>
        <v/>
      </c>
      <c r="K23" s="14">
        <f>J23*12</f>
        <v/>
      </c>
      <c r="L23" s="14">
        <f>J23</f>
        <v/>
      </c>
      <c r="M23" s="14">
        <f>SUM(L12:L23)</f>
        <v/>
      </c>
      <c r="N23">
        <f>IF(M23&gt;=Headlines!$B$19,1,0)</f>
        <v/>
      </c>
      <c r="O23" s="14">
        <f>IF(N23,L23/(1+Headlines!$B$18),L23)</f>
        <v/>
      </c>
      <c r="P23" s="14">
        <f>L23-O23</f>
        <v/>
      </c>
      <c r="Q23" s="14">
        <f>IF(N23=0,0,IF(B23=1,SUMIFS(P$5:P23,C$5:C23,C23-1,B$5:B23,"&gt;=10",B$5:B23,"&lt;=12"),IF(B23=4,SUMIFS(P$5:P23,C$5:C23,C23,B$5:B23,"&gt;=1",B$5:B23,"&lt;=3"),IF(B23=7,SUMIFS(P$5:P23,C$5:C23,C23,B$5:B23,"&gt;=4",B$5:B23,"&lt;=6"),IF(B23=10,SUMIFS(P$5:P23,C$5:C23,C23,B$5:B23,"&gt;=7",B$5:B23,"&lt;=9"),0)))))</f>
        <v/>
      </c>
      <c r="R23" s="14">
        <f>L23*Headlines!$B$11</f>
        <v/>
      </c>
      <c r="S23" s="14">
        <f>I23*Headlines!$B$12</f>
        <v/>
      </c>
      <c r="T23" s="14">
        <f>I23*Headlines!$B$13</f>
        <v/>
      </c>
      <c r="U23" s="14">
        <f>Headlines!$B$14</f>
        <v/>
      </c>
      <c r="V23" s="14">
        <f>G23</f>
        <v/>
      </c>
      <c r="W23" s="14">
        <f>O23-R23-S23-T23-U23-V23</f>
        <v/>
      </c>
      <c r="X23" s="14">
        <f>X22+L23-(R23+S23+T23+U23+V23+Q23)</f>
        <v/>
      </c>
      <c r="Y23" s="16">
        <f>F23</f>
        <v/>
      </c>
    </row>
    <row r="24">
      <c r="A24" t="n">
        <v>20</v>
      </c>
      <c r="B24">
        <f>MOD(A24-1+Headlines!$B$21-1,12)+1</f>
        <v/>
      </c>
      <c r="C24">
        <f>INT((A24-1+Headlines!$B$21-1)/12)+1</f>
        <v/>
      </c>
      <c r="D24">
        <f>VLOOKUP(B24,Headlines!$A$41:$B$52,2,FALSE)</f>
        <v/>
      </c>
      <c r="E24">
        <f>(1+Headlines!$B$20)^INT((A24-1)/12)</f>
        <v/>
      </c>
      <c r="F24">
        <f>Headlines!$B$10*VLOOKUP(B24,Headlines!$A$41:$C$52,3,FALSE)</f>
        <v/>
      </c>
      <c r="G24" s="14">
        <f>Headlines!$B$15</f>
        <v/>
      </c>
      <c r="H24" s="15">
        <f>IF(G24&gt;0,MAX(1,ROUND(G24/Headlines!$B$9*D24,0)),0)</f>
        <v/>
      </c>
      <c r="I24" s="15">
        <f>H24+H23+H22+MAX(0,I23-H23-H22)*(1-F24)</f>
        <v/>
      </c>
      <c r="J24" s="14">
        <f>I24*Headlines!$B$8*E24</f>
        <v/>
      </c>
      <c r="K24" s="14">
        <f>J24*12</f>
        <v/>
      </c>
      <c r="L24" s="14">
        <f>J24</f>
        <v/>
      </c>
      <c r="M24" s="14">
        <f>SUM(L13:L24)</f>
        <v/>
      </c>
      <c r="N24">
        <f>IF(M24&gt;=Headlines!$B$19,1,0)</f>
        <v/>
      </c>
      <c r="O24" s="14">
        <f>IF(N24,L24/(1+Headlines!$B$18),L24)</f>
        <v/>
      </c>
      <c r="P24" s="14">
        <f>L24-O24</f>
        <v/>
      </c>
      <c r="Q24" s="14">
        <f>IF(N24=0,0,IF(B24=1,SUMIFS(P$5:P24,C$5:C24,C24-1,B$5:B24,"&gt;=10",B$5:B24,"&lt;=12"),IF(B24=4,SUMIFS(P$5:P24,C$5:C24,C24,B$5:B24,"&gt;=1",B$5:B24,"&lt;=3"),IF(B24=7,SUMIFS(P$5:P24,C$5:C24,C24,B$5:B24,"&gt;=4",B$5:B24,"&lt;=6"),IF(B24=10,SUMIFS(P$5:P24,C$5:C24,C24,B$5:B24,"&gt;=7",B$5:B24,"&lt;=9"),0)))))</f>
        <v/>
      </c>
      <c r="R24" s="14">
        <f>L24*Headlines!$B$11</f>
        <v/>
      </c>
      <c r="S24" s="14">
        <f>I24*Headlines!$B$12</f>
        <v/>
      </c>
      <c r="T24" s="14">
        <f>I24*Headlines!$B$13</f>
        <v/>
      </c>
      <c r="U24" s="14">
        <f>Headlines!$B$14</f>
        <v/>
      </c>
      <c r="V24" s="14">
        <f>G24</f>
        <v/>
      </c>
      <c r="W24" s="14">
        <f>O24-R24-S24-T24-U24-V24</f>
        <v/>
      </c>
      <c r="X24" s="14">
        <f>X23+L24-(R24+S24+T24+U24+V24+Q24)</f>
        <v/>
      </c>
      <c r="Y24" s="16">
        <f>F24</f>
        <v/>
      </c>
    </row>
    <row r="25">
      <c r="A25" t="n">
        <v>21</v>
      </c>
      <c r="B25">
        <f>MOD(A25-1+Headlines!$B$21-1,12)+1</f>
        <v/>
      </c>
      <c r="C25">
        <f>INT((A25-1+Headlines!$B$21-1)/12)+1</f>
        <v/>
      </c>
      <c r="D25">
        <f>VLOOKUP(B25,Headlines!$A$41:$B$52,2,FALSE)</f>
        <v/>
      </c>
      <c r="E25">
        <f>(1+Headlines!$B$20)^INT((A25-1)/12)</f>
        <v/>
      </c>
      <c r="F25">
        <f>Headlines!$B$10*VLOOKUP(B25,Headlines!$A$41:$C$52,3,FALSE)</f>
        <v/>
      </c>
      <c r="G25" s="14">
        <f>Headlines!$B$15</f>
        <v/>
      </c>
      <c r="H25" s="15">
        <f>IF(G25&gt;0,MAX(1,ROUND(G25/Headlines!$B$9*D25,0)),0)</f>
        <v/>
      </c>
      <c r="I25" s="15">
        <f>H25+H24+H23+MAX(0,I24-H24-H23)*(1-F25)</f>
        <v/>
      </c>
      <c r="J25" s="14">
        <f>I25*Headlines!$B$8*E25</f>
        <v/>
      </c>
      <c r="K25" s="14">
        <f>J25*12</f>
        <v/>
      </c>
      <c r="L25" s="14">
        <f>J25</f>
        <v/>
      </c>
      <c r="M25" s="14">
        <f>SUM(L14:L25)</f>
        <v/>
      </c>
      <c r="N25">
        <f>IF(M25&gt;=Headlines!$B$19,1,0)</f>
        <v/>
      </c>
      <c r="O25" s="14">
        <f>IF(N25,L25/(1+Headlines!$B$18),L25)</f>
        <v/>
      </c>
      <c r="P25" s="14">
        <f>L25-O25</f>
        <v/>
      </c>
      <c r="Q25" s="14">
        <f>IF(N25=0,0,IF(B25=1,SUMIFS(P$5:P25,C$5:C25,C25-1,B$5:B25,"&gt;=10",B$5:B25,"&lt;=12"),IF(B25=4,SUMIFS(P$5:P25,C$5:C25,C25,B$5:B25,"&gt;=1",B$5:B25,"&lt;=3"),IF(B25=7,SUMIFS(P$5:P25,C$5:C25,C25,B$5:B25,"&gt;=4",B$5:B25,"&lt;=6"),IF(B25=10,SUMIFS(P$5:P25,C$5:C25,C25,B$5:B25,"&gt;=7",B$5:B25,"&lt;=9"),0)))))</f>
        <v/>
      </c>
      <c r="R25" s="14">
        <f>L25*Headlines!$B$11</f>
        <v/>
      </c>
      <c r="S25" s="14">
        <f>I25*Headlines!$B$12</f>
        <v/>
      </c>
      <c r="T25" s="14">
        <f>I25*Headlines!$B$13</f>
        <v/>
      </c>
      <c r="U25" s="14">
        <f>Headlines!$B$14</f>
        <v/>
      </c>
      <c r="V25" s="14">
        <f>G25</f>
        <v/>
      </c>
      <c r="W25" s="14">
        <f>O25-R25-S25-T25-U25-V25</f>
        <v/>
      </c>
      <c r="X25" s="14">
        <f>X24+L25-(R25+S25+T25+U25+V25+Q25)</f>
        <v/>
      </c>
      <c r="Y25" s="16">
        <f>F25</f>
        <v/>
      </c>
    </row>
    <row r="26">
      <c r="A26" t="n">
        <v>22</v>
      </c>
      <c r="B26">
        <f>MOD(A26-1+Headlines!$B$21-1,12)+1</f>
        <v/>
      </c>
      <c r="C26">
        <f>INT((A26-1+Headlines!$B$21-1)/12)+1</f>
        <v/>
      </c>
      <c r="D26">
        <f>VLOOKUP(B26,Headlines!$A$41:$B$52,2,FALSE)</f>
        <v/>
      </c>
      <c r="E26">
        <f>(1+Headlines!$B$20)^INT((A26-1)/12)</f>
        <v/>
      </c>
      <c r="F26">
        <f>Headlines!$B$10*VLOOKUP(B26,Headlines!$A$41:$C$52,3,FALSE)</f>
        <v/>
      </c>
      <c r="G26" s="14">
        <f>Headlines!$B$15</f>
        <v/>
      </c>
      <c r="H26" s="15">
        <f>IF(G26&gt;0,MAX(1,ROUND(G26/Headlines!$B$9*D26,0)),0)</f>
        <v/>
      </c>
      <c r="I26" s="15">
        <f>H26+H25+H24+MAX(0,I25-H25-H24)*(1-F26)</f>
        <v/>
      </c>
      <c r="J26" s="14">
        <f>I26*Headlines!$B$8*E26</f>
        <v/>
      </c>
      <c r="K26" s="14">
        <f>J26*12</f>
        <v/>
      </c>
      <c r="L26" s="14">
        <f>J26</f>
        <v/>
      </c>
      <c r="M26" s="14">
        <f>SUM(L15:L26)</f>
        <v/>
      </c>
      <c r="N26">
        <f>IF(M26&gt;=Headlines!$B$19,1,0)</f>
        <v/>
      </c>
      <c r="O26" s="14">
        <f>IF(N26,L26/(1+Headlines!$B$18),L26)</f>
        <v/>
      </c>
      <c r="P26" s="14">
        <f>L26-O26</f>
        <v/>
      </c>
      <c r="Q26" s="14">
        <f>IF(N26=0,0,IF(B26=1,SUMIFS(P$5:P26,C$5:C26,C26-1,B$5:B26,"&gt;=10",B$5:B26,"&lt;=12"),IF(B26=4,SUMIFS(P$5:P26,C$5:C26,C26,B$5:B26,"&gt;=1",B$5:B26,"&lt;=3"),IF(B26=7,SUMIFS(P$5:P26,C$5:C26,C26,B$5:B26,"&gt;=4",B$5:B26,"&lt;=6"),IF(B26=10,SUMIFS(P$5:P26,C$5:C26,C26,B$5:B26,"&gt;=7",B$5:B26,"&lt;=9"),0)))))</f>
        <v/>
      </c>
      <c r="R26" s="14">
        <f>L26*Headlines!$B$11</f>
        <v/>
      </c>
      <c r="S26" s="14">
        <f>I26*Headlines!$B$12</f>
        <v/>
      </c>
      <c r="T26" s="14">
        <f>I26*Headlines!$B$13</f>
        <v/>
      </c>
      <c r="U26" s="14">
        <f>Headlines!$B$14</f>
        <v/>
      </c>
      <c r="V26" s="14">
        <f>G26</f>
        <v/>
      </c>
      <c r="W26" s="14">
        <f>O26-R26-S26-T26-U26-V26</f>
        <v/>
      </c>
      <c r="X26" s="14">
        <f>X25+L26-(R26+S26+T26+U26+V26+Q26)</f>
        <v/>
      </c>
      <c r="Y26" s="16">
        <f>F26</f>
        <v/>
      </c>
    </row>
    <row r="27">
      <c r="A27" t="n">
        <v>23</v>
      </c>
      <c r="B27">
        <f>MOD(A27-1+Headlines!$B$21-1,12)+1</f>
        <v/>
      </c>
      <c r="C27">
        <f>INT((A27-1+Headlines!$B$21-1)/12)+1</f>
        <v/>
      </c>
      <c r="D27">
        <f>VLOOKUP(B27,Headlines!$A$41:$B$52,2,FALSE)</f>
        <v/>
      </c>
      <c r="E27">
        <f>(1+Headlines!$B$20)^INT((A27-1)/12)</f>
        <v/>
      </c>
      <c r="F27">
        <f>Headlines!$B$10*VLOOKUP(B27,Headlines!$A$41:$C$52,3,FALSE)</f>
        <v/>
      </c>
      <c r="G27" s="14">
        <f>Headlines!$B$15</f>
        <v/>
      </c>
      <c r="H27" s="15">
        <f>IF(G27&gt;0,MAX(1,ROUND(G27/Headlines!$B$9*D27,0)),0)</f>
        <v/>
      </c>
      <c r="I27" s="15">
        <f>H27+H26+H25+MAX(0,I26-H26-H25)*(1-F27)</f>
        <v/>
      </c>
      <c r="J27" s="14">
        <f>I27*Headlines!$B$8*E27</f>
        <v/>
      </c>
      <c r="K27" s="14">
        <f>J27*12</f>
        <v/>
      </c>
      <c r="L27" s="14">
        <f>J27</f>
        <v/>
      </c>
      <c r="M27" s="14">
        <f>SUM(L16:L27)</f>
        <v/>
      </c>
      <c r="N27">
        <f>IF(M27&gt;=Headlines!$B$19,1,0)</f>
        <v/>
      </c>
      <c r="O27" s="14">
        <f>IF(N27,L27/(1+Headlines!$B$18),L27)</f>
        <v/>
      </c>
      <c r="P27" s="14">
        <f>L27-O27</f>
        <v/>
      </c>
      <c r="Q27" s="14">
        <f>IF(N27=0,0,IF(B27=1,SUMIFS(P$5:P27,C$5:C27,C27-1,B$5:B27,"&gt;=10",B$5:B27,"&lt;=12"),IF(B27=4,SUMIFS(P$5:P27,C$5:C27,C27,B$5:B27,"&gt;=1",B$5:B27,"&lt;=3"),IF(B27=7,SUMIFS(P$5:P27,C$5:C27,C27,B$5:B27,"&gt;=4",B$5:B27,"&lt;=6"),IF(B27=10,SUMIFS(P$5:P27,C$5:C27,C27,B$5:B27,"&gt;=7",B$5:B27,"&lt;=9"),0)))))</f>
        <v/>
      </c>
      <c r="R27" s="14">
        <f>L27*Headlines!$B$11</f>
        <v/>
      </c>
      <c r="S27" s="14">
        <f>I27*Headlines!$B$12</f>
        <v/>
      </c>
      <c r="T27" s="14">
        <f>I27*Headlines!$B$13</f>
        <v/>
      </c>
      <c r="U27" s="14">
        <f>Headlines!$B$14</f>
        <v/>
      </c>
      <c r="V27" s="14">
        <f>G27</f>
        <v/>
      </c>
      <c r="W27" s="14">
        <f>O27-R27-S27-T27-U27-V27</f>
        <v/>
      </c>
      <c r="X27" s="14">
        <f>X26+L27-(R27+S27+T27+U27+V27+Q27)</f>
        <v/>
      </c>
      <c r="Y27" s="16">
        <f>F27</f>
        <v/>
      </c>
    </row>
    <row r="28">
      <c r="A28" t="n">
        <v>24</v>
      </c>
      <c r="B28">
        <f>MOD(A28-1+Headlines!$B$21-1,12)+1</f>
        <v/>
      </c>
      <c r="C28">
        <f>INT((A28-1+Headlines!$B$21-1)/12)+1</f>
        <v/>
      </c>
      <c r="D28">
        <f>VLOOKUP(B28,Headlines!$A$41:$B$52,2,FALSE)</f>
        <v/>
      </c>
      <c r="E28">
        <f>(1+Headlines!$B$20)^INT((A28-1)/12)</f>
        <v/>
      </c>
      <c r="F28">
        <f>Headlines!$B$10*VLOOKUP(B28,Headlines!$A$41:$C$52,3,FALSE)</f>
        <v/>
      </c>
      <c r="G28" s="14">
        <f>Headlines!$B$15</f>
        <v/>
      </c>
      <c r="H28" s="15">
        <f>IF(G28&gt;0,MAX(1,ROUND(G28/Headlines!$B$9*D28,0)),0)</f>
        <v/>
      </c>
      <c r="I28" s="15">
        <f>H28+H27+H26+MAX(0,I27-H27-H26)*(1-F28)</f>
        <v/>
      </c>
      <c r="J28" s="14">
        <f>I28*Headlines!$B$8*E28</f>
        <v/>
      </c>
      <c r="K28" s="14">
        <f>J28*12</f>
        <v/>
      </c>
      <c r="L28" s="14">
        <f>J28</f>
        <v/>
      </c>
      <c r="M28" s="14">
        <f>SUM(L17:L28)</f>
        <v/>
      </c>
      <c r="N28">
        <f>IF(M28&gt;=Headlines!$B$19,1,0)</f>
        <v/>
      </c>
      <c r="O28" s="14">
        <f>IF(N28,L28/(1+Headlines!$B$18),L28)</f>
        <v/>
      </c>
      <c r="P28" s="14">
        <f>L28-O28</f>
        <v/>
      </c>
      <c r="Q28" s="14">
        <f>IF(N28=0,0,IF(B28=1,SUMIFS(P$5:P28,C$5:C28,C28-1,B$5:B28,"&gt;=10",B$5:B28,"&lt;=12"),IF(B28=4,SUMIFS(P$5:P28,C$5:C28,C28,B$5:B28,"&gt;=1",B$5:B28,"&lt;=3"),IF(B28=7,SUMIFS(P$5:P28,C$5:C28,C28,B$5:B28,"&gt;=4",B$5:B28,"&lt;=6"),IF(B28=10,SUMIFS(P$5:P28,C$5:C28,C28,B$5:B28,"&gt;=7",B$5:B28,"&lt;=9"),0)))))</f>
        <v/>
      </c>
      <c r="R28" s="14">
        <f>L28*Headlines!$B$11</f>
        <v/>
      </c>
      <c r="S28" s="14">
        <f>I28*Headlines!$B$12</f>
        <v/>
      </c>
      <c r="T28" s="14">
        <f>I28*Headlines!$B$13</f>
        <v/>
      </c>
      <c r="U28" s="14">
        <f>Headlines!$B$14</f>
        <v/>
      </c>
      <c r="V28" s="14">
        <f>G28</f>
        <v/>
      </c>
      <c r="W28" s="14">
        <f>O28-R28-S28-T28-U28-V28</f>
        <v/>
      </c>
      <c r="X28" s="14">
        <f>X27+L28-(R28+S28+T28+U28+V28+Q28)</f>
        <v/>
      </c>
      <c r="Y28" s="16">
        <f>F28</f>
        <v/>
      </c>
    </row>
    <row r="29">
      <c r="A29" t="n">
        <v>25</v>
      </c>
      <c r="B29">
        <f>MOD(A29-1+Headlines!$B$21-1,12)+1</f>
        <v/>
      </c>
      <c r="C29">
        <f>INT((A29-1+Headlines!$B$21-1)/12)+1</f>
        <v/>
      </c>
      <c r="D29">
        <f>VLOOKUP(B29,Headlines!$A$41:$B$52,2,FALSE)</f>
        <v/>
      </c>
      <c r="E29">
        <f>(1+Headlines!$B$20)^INT((A29-1)/12)</f>
        <v/>
      </c>
      <c r="F29">
        <f>Headlines!$B$10*VLOOKUP(B29,Headlines!$A$41:$C$52,3,FALSE)</f>
        <v/>
      </c>
      <c r="G29" s="14">
        <f>Headlines!$B$15</f>
        <v/>
      </c>
      <c r="H29" s="15">
        <f>IF(G29&gt;0,MAX(1,ROUND(G29/Headlines!$B$9*D29,0)),0)</f>
        <v/>
      </c>
      <c r="I29" s="15">
        <f>H29+H28+H27+MAX(0,I28-H28-H27)*(1-F29)</f>
        <v/>
      </c>
      <c r="J29" s="14">
        <f>I29*Headlines!$B$8*E29</f>
        <v/>
      </c>
      <c r="K29" s="14">
        <f>J29*12</f>
        <v/>
      </c>
      <c r="L29" s="14">
        <f>J29</f>
        <v/>
      </c>
      <c r="M29" s="14">
        <f>SUM(L18:L29)</f>
        <v/>
      </c>
      <c r="N29">
        <f>IF(M29&gt;=Headlines!$B$19,1,0)</f>
        <v/>
      </c>
      <c r="O29" s="14">
        <f>IF(N29,L29/(1+Headlines!$B$18),L29)</f>
        <v/>
      </c>
      <c r="P29" s="14">
        <f>L29-O29</f>
        <v/>
      </c>
      <c r="Q29" s="14">
        <f>IF(N29=0,0,IF(B29=1,SUMIFS(P$5:P29,C$5:C29,C29-1,B$5:B29,"&gt;=10",B$5:B29,"&lt;=12"),IF(B29=4,SUMIFS(P$5:P29,C$5:C29,C29,B$5:B29,"&gt;=1",B$5:B29,"&lt;=3"),IF(B29=7,SUMIFS(P$5:P29,C$5:C29,C29,B$5:B29,"&gt;=4",B$5:B29,"&lt;=6"),IF(B29=10,SUMIFS(P$5:P29,C$5:C29,C29,B$5:B29,"&gt;=7",B$5:B29,"&lt;=9"),0)))))</f>
        <v/>
      </c>
      <c r="R29" s="14">
        <f>L29*Headlines!$B$11</f>
        <v/>
      </c>
      <c r="S29" s="14">
        <f>I29*Headlines!$B$12</f>
        <v/>
      </c>
      <c r="T29" s="14">
        <f>I29*Headlines!$B$13</f>
        <v/>
      </c>
      <c r="U29" s="14">
        <f>Headlines!$B$14</f>
        <v/>
      </c>
      <c r="V29" s="14">
        <f>G29</f>
        <v/>
      </c>
      <c r="W29" s="14">
        <f>O29-R29-S29-T29-U29-V29</f>
        <v/>
      </c>
      <c r="X29" s="14">
        <f>X28+L29-(R29+S29+T29+U29+V29+Q29)</f>
        <v/>
      </c>
      <c r="Y29" s="16">
        <f>F29</f>
        <v/>
      </c>
    </row>
    <row r="30">
      <c r="A30" t="n">
        <v>26</v>
      </c>
      <c r="B30">
        <f>MOD(A30-1+Headlines!$B$21-1,12)+1</f>
        <v/>
      </c>
      <c r="C30">
        <f>INT((A30-1+Headlines!$B$21-1)/12)+1</f>
        <v/>
      </c>
      <c r="D30">
        <f>VLOOKUP(B30,Headlines!$A$41:$B$52,2,FALSE)</f>
        <v/>
      </c>
      <c r="E30">
        <f>(1+Headlines!$B$20)^INT((A30-1)/12)</f>
        <v/>
      </c>
      <c r="F30">
        <f>Headlines!$B$10*VLOOKUP(B30,Headlines!$A$41:$C$52,3,FALSE)</f>
        <v/>
      </c>
      <c r="G30" s="14">
        <f>Headlines!$B$15</f>
        <v/>
      </c>
      <c r="H30" s="15">
        <f>IF(G30&gt;0,MAX(1,ROUND(G30/Headlines!$B$9*D30,0)),0)</f>
        <v/>
      </c>
      <c r="I30" s="15">
        <f>H30+H29+H28+MAX(0,I29-H29-H28)*(1-F30)</f>
        <v/>
      </c>
      <c r="J30" s="14">
        <f>I30*Headlines!$B$8*E30</f>
        <v/>
      </c>
      <c r="K30" s="14">
        <f>J30*12</f>
        <v/>
      </c>
      <c r="L30" s="14">
        <f>J30</f>
        <v/>
      </c>
      <c r="M30" s="14">
        <f>SUM(L19:L30)</f>
        <v/>
      </c>
      <c r="N30">
        <f>IF(M30&gt;=Headlines!$B$19,1,0)</f>
        <v/>
      </c>
      <c r="O30" s="14">
        <f>IF(N30,L30/(1+Headlines!$B$18),L30)</f>
        <v/>
      </c>
      <c r="P30" s="14">
        <f>L30-O30</f>
        <v/>
      </c>
      <c r="Q30" s="14">
        <f>IF(N30=0,0,IF(B30=1,SUMIFS(P$5:P30,C$5:C30,C30-1,B$5:B30,"&gt;=10",B$5:B30,"&lt;=12"),IF(B30=4,SUMIFS(P$5:P30,C$5:C30,C30,B$5:B30,"&gt;=1",B$5:B30,"&lt;=3"),IF(B30=7,SUMIFS(P$5:P30,C$5:C30,C30,B$5:B30,"&gt;=4",B$5:B30,"&lt;=6"),IF(B30=10,SUMIFS(P$5:P30,C$5:C30,C30,B$5:B30,"&gt;=7",B$5:B30,"&lt;=9"),0)))))</f>
        <v/>
      </c>
      <c r="R30" s="14">
        <f>L30*Headlines!$B$11</f>
        <v/>
      </c>
      <c r="S30" s="14">
        <f>I30*Headlines!$B$12</f>
        <v/>
      </c>
      <c r="T30" s="14">
        <f>I30*Headlines!$B$13</f>
        <v/>
      </c>
      <c r="U30" s="14">
        <f>Headlines!$B$14</f>
        <v/>
      </c>
      <c r="V30" s="14">
        <f>G30</f>
        <v/>
      </c>
      <c r="W30" s="14">
        <f>O30-R30-S30-T30-U30-V30</f>
        <v/>
      </c>
      <c r="X30" s="14">
        <f>X29+L30-(R30+S30+T30+U30+V30+Q30)</f>
        <v/>
      </c>
      <c r="Y30" s="16">
        <f>F30</f>
        <v/>
      </c>
    </row>
    <row r="31">
      <c r="A31" t="n">
        <v>27</v>
      </c>
      <c r="B31">
        <f>MOD(A31-1+Headlines!$B$21-1,12)+1</f>
        <v/>
      </c>
      <c r="C31">
        <f>INT((A31-1+Headlines!$B$21-1)/12)+1</f>
        <v/>
      </c>
      <c r="D31">
        <f>VLOOKUP(B31,Headlines!$A$41:$B$52,2,FALSE)</f>
        <v/>
      </c>
      <c r="E31">
        <f>(1+Headlines!$B$20)^INT((A31-1)/12)</f>
        <v/>
      </c>
      <c r="F31">
        <f>Headlines!$B$10*VLOOKUP(B31,Headlines!$A$41:$C$52,3,FALSE)</f>
        <v/>
      </c>
      <c r="G31" s="14">
        <f>Headlines!$B$15</f>
        <v/>
      </c>
      <c r="H31" s="15">
        <f>IF(G31&gt;0,MAX(1,ROUND(G31/Headlines!$B$9*D31,0)),0)</f>
        <v/>
      </c>
      <c r="I31" s="15">
        <f>H31+H30+H29+MAX(0,I30-H30-H29)*(1-F31)</f>
        <v/>
      </c>
      <c r="J31" s="14">
        <f>I31*Headlines!$B$8*E31</f>
        <v/>
      </c>
      <c r="K31" s="14">
        <f>J31*12</f>
        <v/>
      </c>
      <c r="L31" s="14">
        <f>J31</f>
        <v/>
      </c>
      <c r="M31" s="14">
        <f>SUM(L20:L31)</f>
        <v/>
      </c>
      <c r="N31">
        <f>IF(M31&gt;=Headlines!$B$19,1,0)</f>
        <v/>
      </c>
      <c r="O31" s="14">
        <f>IF(N31,L31/(1+Headlines!$B$18),L31)</f>
        <v/>
      </c>
      <c r="P31" s="14">
        <f>L31-O31</f>
        <v/>
      </c>
      <c r="Q31" s="14">
        <f>IF(N31=0,0,IF(B31=1,SUMIFS(P$5:P31,C$5:C31,C31-1,B$5:B31,"&gt;=10",B$5:B31,"&lt;=12"),IF(B31=4,SUMIFS(P$5:P31,C$5:C31,C31,B$5:B31,"&gt;=1",B$5:B31,"&lt;=3"),IF(B31=7,SUMIFS(P$5:P31,C$5:C31,C31,B$5:B31,"&gt;=4",B$5:B31,"&lt;=6"),IF(B31=10,SUMIFS(P$5:P31,C$5:C31,C31,B$5:B31,"&gt;=7",B$5:B31,"&lt;=9"),0)))))</f>
        <v/>
      </c>
      <c r="R31" s="14">
        <f>L31*Headlines!$B$11</f>
        <v/>
      </c>
      <c r="S31" s="14">
        <f>I31*Headlines!$B$12</f>
        <v/>
      </c>
      <c r="T31" s="14">
        <f>I31*Headlines!$B$13</f>
        <v/>
      </c>
      <c r="U31" s="14">
        <f>Headlines!$B$14</f>
        <v/>
      </c>
      <c r="V31" s="14">
        <f>G31</f>
        <v/>
      </c>
      <c r="W31" s="14">
        <f>O31-R31-S31-T31-U31-V31</f>
        <v/>
      </c>
      <c r="X31" s="14">
        <f>X30+L31-(R31+S31+T31+U31+V31+Q31)</f>
        <v/>
      </c>
      <c r="Y31" s="16">
        <f>F31</f>
        <v/>
      </c>
    </row>
    <row r="32">
      <c r="A32" t="n">
        <v>28</v>
      </c>
      <c r="B32">
        <f>MOD(A32-1+Headlines!$B$21-1,12)+1</f>
        <v/>
      </c>
      <c r="C32">
        <f>INT((A32-1+Headlines!$B$21-1)/12)+1</f>
        <v/>
      </c>
      <c r="D32">
        <f>VLOOKUP(B32,Headlines!$A$41:$B$52,2,FALSE)</f>
        <v/>
      </c>
      <c r="E32">
        <f>(1+Headlines!$B$20)^INT((A32-1)/12)</f>
        <v/>
      </c>
      <c r="F32">
        <f>Headlines!$B$10*VLOOKUP(B32,Headlines!$A$41:$C$52,3,FALSE)</f>
        <v/>
      </c>
      <c r="G32" s="14">
        <f>Headlines!$B$15</f>
        <v/>
      </c>
      <c r="H32" s="15">
        <f>IF(G32&gt;0,MAX(1,ROUND(G32/Headlines!$B$9*D32,0)),0)</f>
        <v/>
      </c>
      <c r="I32" s="15">
        <f>H32+H31+H30+MAX(0,I31-H31-H30)*(1-F32)</f>
        <v/>
      </c>
      <c r="J32" s="14">
        <f>I32*Headlines!$B$8*E32</f>
        <v/>
      </c>
      <c r="K32" s="14">
        <f>J32*12</f>
        <v/>
      </c>
      <c r="L32" s="14">
        <f>J32</f>
        <v/>
      </c>
      <c r="M32" s="14">
        <f>SUM(L21:L32)</f>
        <v/>
      </c>
      <c r="N32">
        <f>IF(M32&gt;=Headlines!$B$19,1,0)</f>
        <v/>
      </c>
      <c r="O32" s="14">
        <f>IF(N32,L32/(1+Headlines!$B$18),L32)</f>
        <v/>
      </c>
      <c r="P32" s="14">
        <f>L32-O32</f>
        <v/>
      </c>
      <c r="Q32" s="14">
        <f>IF(N32=0,0,IF(B32=1,SUMIFS(P$5:P32,C$5:C32,C32-1,B$5:B32,"&gt;=10",B$5:B32,"&lt;=12"),IF(B32=4,SUMIFS(P$5:P32,C$5:C32,C32,B$5:B32,"&gt;=1",B$5:B32,"&lt;=3"),IF(B32=7,SUMIFS(P$5:P32,C$5:C32,C32,B$5:B32,"&gt;=4",B$5:B32,"&lt;=6"),IF(B32=10,SUMIFS(P$5:P32,C$5:C32,C32,B$5:B32,"&gt;=7",B$5:B32,"&lt;=9"),0)))))</f>
        <v/>
      </c>
      <c r="R32" s="14">
        <f>L32*Headlines!$B$11</f>
        <v/>
      </c>
      <c r="S32" s="14">
        <f>I32*Headlines!$B$12</f>
        <v/>
      </c>
      <c r="T32" s="14">
        <f>I32*Headlines!$B$13</f>
        <v/>
      </c>
      <c r="U32" s="14">
        <f>Headlines!$B$14</f>
        <v/>
      </c>
      <c r="V32" s="14">
        <f>G32</f>
        <v/>
      </c>
      <c r="W32" s="14">
        <f>O32-R32-S32-T32-U32-V32</f>
        <v/>
      </c>
      <c r="X32" s="14">
        <f>X31+L32-(R32+S32+T32+U32+V32+Q32)</f>
        <v/>
      </c>
      <c r="Y32" s="16">
        <f>F32</f>
        <v/>
      </c>
    </row>
    <row r="33">
      <c r="A33" t="n">
        <v>29</v>
      </c>
      <c r="B33">
        <f>MOD(A33-1+Headlines!$B$21-1,12)+1</f>
        <v/>
      </c>
      <c r="C33">
        <f>INT((A33-1+Headlines!$B$21-1)/12)+1</f>
        <v/>
      </c>
      <c r="D33">
        <f>VLOOKUP(B33,Headlines!$A$41:$B$52,2,FALSE)</f>
        <v/>
      </c>
      <c r="E33">
        <f>(1+Headlines!$B$20)^INT((A33-1)/12)</f>
        <v/>
      </c>
      <c r="F33">
        <f>Headlines!$B$10*VLOOKUP(B33,Headlines!$A$41:$C$52,3,FALSE)</f>
        <v/>
      </c>
      <c r="G33" s="14">
        <f>Headlines!$B$15</f>
        <v/>
      </c>
      <c r="H33" s="15">
        <f>IF(G33&gt;0,MAX(1,ROUND(G33/Headlines!$B$9*D33,0)),0)</f>
        <v/>
      </c>
      <c r="I33" s="15">
        <f>H33+H32+H31+MAX(0,I32-H32-H31)*(1-F33)</f>
        <v/>
      </c>
      <c r="J33" s="14">
        <f>I33*Headlines!$B$8*E33</f>
        <v/>
      </c>
      <c r="K33" s="14">
        <f>J33*12</f>
        <v/>
      </c>
      <c r="L33" s="14">
        <f>J33</f>
        <v/>
      </c>
      <c r="M33" s="14">
        <f>SUM(L22:L33)</f>
        <v/>
      </c>
      <c r="N33">
        <f>IF(M33&gt;=Headlines!$B$19,1,0)</f>
        <v/>
      </c>
      <c r="O33" s="14">
        <f>IF(N33,L33/(1+Headlines!$B$18),L33)</f>
        <v/>
      </c>
      <c r="P33" s="14">
        <f>L33-O33</f>
        <v/>
      </c>
      <c r="Q33" s="14">
        <f>IF(N33=0,0,IF(B33=1,SUMIFS(P$5:P33,C$5:C33,C33-1,B$5:B33,"&gt;=10",B$5:B33,"&lt;=12"),IF(B33=4,SUMIFS(P$5:P33,C$5:C33,C33,B$5:B33,"&gt;=1",B$5:B33,"&lt;=3"),IF(B33=7,SUMIFS(P$5:P33,C$5:C33,C33,B$5:B33,"&gt;=4",B$5:B33,"&lt;=6"),IF(B33=10,SUMIFS(P$5:P33,C$5:C33,C33,B$5:B33,"&gt;=7",B$5:B33,"&lt;=9"),0)))))</f>
        <v/>
      </c>
      <c r="R33" s="14">
        <f>L33*Headlines!$B$11</f>
        <v/>
      </c>
      <c r="S33" s="14">
        <f>I33*Headlines!$B$12</f>
        <v/>
      </c>
      <c r="T33" s="14">
        <f>I33*Headlines!$B$13</f>
        <v/>
      </c>
      <c r="U33" s="14">
        <f>Headlines!$B$14</f>
        <v/>
      </c>
      <c r="V33" s="14">
        <f>G33</f>
        <v/>
      </c>
      <c r="W33" s="14">
        <f>O33-R33-S33-T33-U33-V33</f>
        <v/>
      </c>
      <c r="X33" s="14">
        <f>X32+L33-(R33+S33+T33+U33+V33+Q33)</f>
        <v/>
      </c>
      <c r="Y33" s="16">
        <f>F33</f>
        <v/>
      </c>
    </row>
    <row r="34">
      <c r="A34" t="n">
        <v>30</v>
      </c>
      <c r="B34">
        <f>MOD(A34-1+Headlines!$B$21-1,12)+1</f>
        <v/>
      </c>
      <c r="C34">
        <f>INT((A34-1+Headlines!$B$21-1)/12)+1</f>
        <v/>
      </c>
      <c r="D34">
        <f>VLOOKUP(B34,Headlines!$A$41:$B$52,2,FALSE)</f>
        <v/>
      </c>
      <c r="E34">
        <f>(1+Headlines!$B$20)^INT((A34-1)/12)</f>
        <v/>
      </c>
      <c r="F34">
        <f>Headlines!$B$10*VLOOKUP(B34,Headlines!$A$41:$C$52,3,FALSE)</f>
        <v/>
      </c>
      <c r="G34" s="14">
        <f>Headlines!$B$15</f>
        <v/>
      </c>
      <c r="H34" s="15">
        <f>IF(G34&gt;0,MAX(1,ROUND(G34/Headlines!$B$9*D34,0)),0)</f>
        <v/>
      </c>
      <c r="I34" s="15">
        <f>H34+H33+H32+MAX(0,I33-H33-H32)*(1-F34)</f>
        <v/>
      </c>
      <c r="J34" s="14">
        <f>I34*Headlines!$B$8*E34</f>
        <v/>
      </c>
      <c r="K34" s="14">
        <f>J34*12</f>
        <v/>
      </c>
      <c r="L34" s="14">
        <f>J34</f>
        <v/>
      </c>
      <c r="M34" s="14">
        <f>SUM(L23:L34)</f>
        <v/>
      </c>
      <c r="N34">
        <f>IF(M34&gt;=Headlines!$B$19,1,0)</f>
        <v/>
      </c>
      <c r="O34" s="14">
        <f>IF(N34,L34/(1+Headlines!$B$18),L34)</f>
        <v/>
      </c>
      <c r="P34" s="14">
        <f>L34-O34</f>
        <v/>
      </c>
      <c r="Q34" s="14">
        <f>IF(N34=0,0,IF(B34=1,SUMIFS(P$5:P34,C$5:C34,C34-1,B$5:B34,"&gt;=10",B$5:B34,"&lt;=12"),IF(B34=4,SUMIFS(P$5:P34,C$5:C34,C34,B$5:B34,"&gt;=1",B$5:B34,"&lt;=3"),IF(B34=7,SUMIFS(P$5:P34,C$5:C34,C34,B$5:B34,"&gt;=4",B$5:B34,"&lt;=6"),IF(B34=10,SUMIFS(P$5:P34,C$5:C34,C34,B$5:B34,"&gt;=7",B$5:B34,"&lt;=9"),0)))))</f>
        <v/>
      </c>
      <c r="R34" s="14">
        <f>L34*Headlines!$B$11</f>
        <v/>
      </c>
      <c r="S34" s="14">
        <f>I34*Headlines!$B$12</f>
        <v/>
      </c>
      <c r="T34" s="14">
        <f>I34*Headlines!$B$13</f>
        <v/>
      </c>
      <c r="U34" s="14">
        <f>Headlines!$B$14</f>
        <v/>
      </c>
      <c r="V34" s="14">
        <f>G34</f>
        <v/>
      </c>
      <c r="W34" s="14">
        <f>O34-R34-S34-T34-U34-V34</f>
        <v/>
      </c>
      <c r="X34" s="14">
        <f>X33+L34-(R34+S34+T34+U34+V34+Q34)</f>
        <v/>
      </c>
      <c r="Y34" s="16">
        <f>F34</f>
        <v/>
      </c>
    </row>
    <row r="35">
      <c r="A35" t="n">
        <v>31</v>
      </c>
      <c r="B35">
        <f>MOD(A35-1+Headlines!$B$21-1,12)+1</f>
        <v/>
      </c>
      <c r="C35">
        <f>INT((A35-1+Headlines!$B$21-1)/12)+1</f>
        <v/>
      </c>
      <c r="D35">
        <f>VLOOKUP(B35,Headlines!$A$41:$B$52,2,FALSE)</f>
        <v/>
      </c>
      <c r="E35">
        <f>(1+Headlines!$B$20)^INT((A35-1)/12)</f>
        <v/>
      </c>
      <c r="F35">
        <f>Headlines!$B$10*VLOOKUP(B35,Headlines!$A$41:$C$52,3,FALSE)</f>
        <v/>
      </c>
      <c r="G35" s="14">
        <f>Headlines!$B$15</f>
        <v/>
      </c>
      <c r="H35" s="15">
        <f>IF(G35&gt;0,MAX(1,ROUND(G35/Headlines!$B$9*D35,0)),0)</f>
        <v/>
      </c>
      <c r="I35" s="15">
        <f>H35+H34+H33+MAX(0,I34-H34-H33)*(1-F35)</f>
        <v/>
      </c>
      <c r="J35" s="14">
        <f>I35*Headlines!$B$8*E35</f>
        <v/>
      </c>
      <c r="K35" s="14">
        <f>J35*12</f>
        <v/>
      </c>
      <c r="L35" s="14">
        <f>J35</f>
        <v/>
      </c>
      <c r="M35" s="14">
        <f>SUM(L24:L35)</f>
        <v/>
      </c>
      <c r="N35">
        <f>IF(M35&gt;=Headlines!$B$19,1,0)</f>
        <v/>
      </c>
      <c r="O35" s="14">
        <f>IF(N35,L35/(1+Headlines!$B$18),L35)</f>
        <v/>
      </c>
      <c r="P35" s="14">
        <f>L35-O35</f>
        <v/>
      </c>
      <c r="Q35" s="14">
        <f>IF(N35=0,0,IF(B35=1,SUMIFS(P$5:P35,C$5:C35,C35-1,B$5:B35,"&gt;=10",B$5:B35,"&lt;=12"),IF(B35=4,SUMIFS(P$5:P35,C$5:C35,C35,B$5:B35,"&gt;=1",B$5:B35,"&lt;=3"),IF(B35=7,SUMIFS(P$5:P35,C$5:C35,C35,B$5:B35,"&gt;=4",B$5:B35,"&lt;=6"),IF(B35=10,SUMIFS(P$5:P35,C$5:C35,C35,B$5:B35,"&gt;=7",B$5:B35,"&lt;=9"),0)))))</f>
        <v/>
      </c>
      <c r="R35" s="14">
        <f>L35*Headlines!$B$11</f>
        <v/>
      </c>
      <c r="S35" s="14">
        <f>I35*Headlines!$B$12</f>
        <v/>
      </c>
      <c r="T35" s="14">
        <f>I35*Headlines!$B$13</f>
        <v/>
      </c>
      <c r="U35" s="14">
        <f>Headlines!$B$14</f>
        <v/>
      </c>
      <c r="V35" s="14">
        <f>G35</f>
        <v/>
      </c>
      <c r="W35" s="14">
        <f>O35-R35-S35-T35-U35-V35</f>
        <v/>
      </c>
      <c r="X35" s="14">
        <f>X34+L35-(R35+S35+T35+U35+V35+Q35)</f>
        <v/>
      </c>
      <c r="Y35" s="16">
        <f>F35</f>
        <v/>
      </c>
    </row>
    <row r="36">
      <c r="A36" t="n">
        <v>32</v>
      </c>
      <c r="B36">
        <f>MOD(A36-1+Headlines!$B$21-1,12)+1</f>
        <v/>
      </c>
      <c r="C36">
        <f>INT((A36-1+Headlines!$B$21-1)/12)+1</f>
        <v/>
      </c>
      <c r="D36">
        <f>VLOOKUP(B36,Headlines!$A$41:$B$52,2,FALSE)</f>
        <v/>
      </c>
      <c r="E36">
        <f>(1+Headlines!$B$20)^INT((A36-1)/12)</f>
        <v/>
      </c>
      <c r="F36">
        <f>Headlines!$B$10*VLOOKUP(B36,Headlines!$A$41:$C$52,3,FALSE)</f>
        <v/>
      </c>
      <c r="G36" s="14">
        <f>Headlines!$B$15</f>
        <v/>
      </c>
      <c r="H36" s="15">
        <f>IF(G36&gt;0,MAX(1,ROUND(G36/Headlines!$B$9*D36,0)),0)</f>
        <v/>
      </c>
      <c r="I36" s="15">
        <f>H36+H35+H34+MAX(0,I35-H35-H34)*(1-F36)</f>
        <v/>
      </c>
      <c r="J36" s="14">
        <f>I36*Headlines!$B$8*E36</f>
        <v/>
      </c>
      <c r="K36" s="14">
        <f>J36*12</f>
        <v/>
      </c>
      <c r="L36" s="14">
        <f>J36</f>
        <v/>
      </c>
      <c r="M36" s="14">
        <f>SUM(L25:L36)</f>
        <v/>
      </c>
      <c r="N36">
        <f>IF(M36&gt;=Headlines!$B$19,1,0)</f>
        <v/>
      </c>
      <c r="O36" s="14">
        <f>IF(N36,L36/(1+Headlines!$B$18),L36)</f>
        <v/>
      </c>
      <c r="P36" s="14">
        <f>L36-O36</f>
        <v/>
      </c>
      <c r="Q36" s="14">
        <f>IF(N36=0,0,IF(B36=1,SUMIFS(P$5:P36,C$5:C36,C36-1,B$5:B36,"&gt;=10",B$5:B36,"&lt;=12"),IF(B36=4,SUMIFS(P$5:P36,C$5:C36,C36,B$5:B36,"&gt;=1",B$5:B36,"&lt;=3"),IF(B36=7,SUMIFS(P$5:P36,C$5:C36,C36,B$5:B36,"&gt;=4",B$5:B36,"&lt;=6"),IF(B36=10,SUMIFS(P$5:P36,C$5:C36,C36,B$5:B36,"&gt;=7",B$5:B36,"&lt;=9"),0)))))</f>
        <v/>
      </c>
      <c r="R36" s="14">
        <f>L36*Headlines!$B$11</f>
        <v/>
      </c>
      <c r="S36" s="14">
        <f>I36*Headlines!$B$12</f>
        <v/>
      </c>
      <c r="T36" s="14">
        <f>I36*Headlines!$B$13</f>
        <v/>
      </c>
      <c r="U36" s="14">
        <f>Headlines!$B$14</f>
        <v/>
      </c>
      <c r="V36" s="14">
        <f>G36</f>
        <v/>
      </c>
      <c r="W36" s="14">
        <f>O36-R36-S36-T36-U36-V36</f>
        <v/>
      </c>
      <c r="X36" s="14">
        <f>X35+L36-(R36+S36+T36+U36+V36+Q36)</f>
        <v/>
      </c>
      <c r="Y36" s="16">
        <f>F36</f>
        <v/>
      </c>
    </row>
    <row r="37">
      <c r="A37" t="n">
        <v>33</v>
      </c>
      <c r="B37">
        <f>MOD(A37-1+Headlines!$B$21-1,12)+1</f>
        <v/>
      </c>
      <c r="C37">
        <f>INT((A37-1+Headlines!$B$21-1)/12)+1</f>
        <v/>
      </c>
      <c r="D37">
        <f>VLOOKUP(B37,Headlines!$A$41:$B$52,2,FALSE)</f>
        <v/>
      </c>
      <c r="E37">
        <f>(1+Headlines!$B$20)^INT((A37-1)/12)</f>
        <v/>
      </c>
      <c r="F37">
        <f>Headlines!$B$10*VLOOKUP(B37,Headlines!$A$41:$C$52,3,FALSE)</f>
        <v/>
      </c>
      <c r="G37" s="14">
        <f>Headlines!$B$15</f>
        <v/>
      </c>
      <c r="H37" s="15">
        <f>IF(G37&gt;0,MAX(1,ROUND(G37/Headlines!$B$9*D37,0)),0)</f>
        <v/>
      </c>
      <c r="I37" s="15">
        <f>H37+H36+H35+MAX(0,I36-H36-H35)*(1-F37)</f>
        <v/>
      </c>
      <c r="J37" s="14">
        <f>I37*Headlines!$B$8*E37</f>
        <v/>
      </c>
      <c r="K37" s="14">
        <f>J37*12</f>
        <v/>
      </c>
      <c r="L37" s="14">
        <f>J37</f>
        <v/>
      </c>
      <c r="M37" s="14">
        <f>SUM(L26:L37)</f>
        <v/>
      </c>
      <c r="N37">
        <f>IF(M37&gt;=Headlines!$B$19,1,0)</f>
        <v/>
      </c>
      <c r="O37" s="14">
        <f>IF(N37,L37/(1+Headlines!$B$18),L37)</f>
        <v/>
      </c>
      <c r="P37" s="14">
        <f>L37-O37</f>
        <v/>
      </c>
      <c r="Q37" s="14">
        <f>IF(N37=0,0,IF(B37=1,SUMIFS(P$5:P37,C$5:C37,C37-1,B$5:B37,"&gt;=10",B$5:B37,"&lt;=12"),IF(B37=4,SUMIFS(P$5:P37,C$5:C37,C37,B$5:B37,"&gt;=1",B$5:B37,"&lt;=3"),IF(B37=7,SUMIFS(P$5:P37,C$5:C37,C37,B$5:B37,"&gt;=4",B$5:B37,"&lt;=6"),IF(B37=10,SUMIFS(P$5:P37,C$5:C37,C37,B$5:B37,"&gt;=7",B$5:B37,"&lt;=9"),0)))))</f>
        <v/>
      </c>
      <c r="R37" s="14">
        <f>L37*Headlines!$B$11</f>
        <v/>
      </c>
      <c r="S37" s="14">
        <f>I37*Headlines!$B$12</f>
        <v/>
      </c>
      <c r="T37" s="14">
        <f>I37*Headlines!$B$13</f>
        <v/>
      </c>
      <c r="U37" s="14">
        <f>Headlines!$B$14</f>
        <v/>
      </c>
      <c r="V37" s="14">
        <f>G37</f>
        <v/>
      </c>
      <c r="W37" s="14">
        <f>O37-R37-S37-T37-U37-V37</f>
        <v/>
      </c>
      <c r="X37" s="14">
        <f>X36+L37-(R37+S37+T37+U37+V37+Q37)</f>
        <v/>
      </c>
      <c r="Y37" s="16">
        <f>F37</f>
        <v/>
      </c>
    </row>
    <row r="38">
      <c r="A38" t="n">
        <v>34</v>
      </c>
      <c r="B38">
        <f>MOD(A38-1+Headlines!$B$21-1,12)+1</f>
        <v/>
      </c>
      <c r="C38">
        <f>INT((A38-1+Headlines!$B$21-1)/12)+1</f>
        <v/>
      </c>
      <c r="D38">
        <f>VLOOKUP(B38,Headlines!$A$41:$B$52,2,FALSE)</f>
        <v/>
      </c>
      <c r="E38">
        <f>(1+Headlines!$B$20)^INT((A38-1)/12)</f>
        <v/>
      </c>
      <c r="F38">
        <f>Headlines!$B$10*VLOOKUP(B38,Headlines!$A$41:$C$52,3,FALSE)</f>
        <v/>
      </c>
      <c r="G38" s="14">
        <f>Headlines!$B$15</f>
        <v/>
      </c>
      <c r="H38" s="15">
        <f>IF(G38&gt;0,MAX(1,ROUND(G38/Headlines!$B$9*D38,0)),0)</f>
        <v/>
      </c>
      <c r="I38" s="15">
        <f>H38+H37+H36+MAX(0,I37-H37-H36)*(1-F38)</f>
        <v/>
      </c>
      <c r="J38" s="14">
        <f>I38*Headlines!$B$8*E38</f>
        <v/>
      </c>
      <c r="K38" s="14">
        <f>J38*12</f>
        <v/>
      </c>
      <c r="L38" s="14">
        <f>J38</f>
        <v/>
      </c>
      <c r="M38" s="14">
        <f>SUM(L27:L38)</f>
        <v/>
      </c>
      <c r="N38">
        <f>IF(M38&gt;=Headlines!$B$19,1,0)</f>
        <v/>
      </c>
      <c r="O38" s="14">
        <f>IF(N38,L38/(1+Headlines!$B$18),L38)</f>
        <v/>
      </c>
      <c r="P38" s="14">
        <f>L38-O38</f>
        <v/>
      </c>
      <c r="Q38" s="14">
        <f>IF(N38=0,0,IF(B38=1,SUMIFS(P$5:P38,C$5:C38,C38-1,B$5:B38,"&gt;=10",B$5:B38,"&lt;=12"),IF(B38=4,SUMIFS(P$5:P38,C$5:C38,C38,B$5:B38,"&gt;=1",B$5:B38,"&lt;=3"),IF(B38=7,SUMIFS(P$5:P38,C$5:C38,C38,B$5:B38,"&gt;=4",B$5:B38,"&lt;=6"),IF(B38=10,SUMIFS(P$5:P38,C$5:C38,C38,B$5:B38,"&gt;=7",B$5:B38,"&lt;=9"),0)))))</f>
        <v/>
      </c>
      <c r="R38" s="14">
        <f>L38*Headlines!$B$11</f>
        <v/>
      </c>
      <c r="S38" s="14">
        <f>I38*Headlines!$B$12</f>
        <v/>
      </c>
      <c r="T38" s="14">
        <f>I38*Headlines!$B$13</f>
        <v/>
      </c>
      <c r="U38" s="14">
        <f>Headlines!$B$14</f>
        <v/>
      </c>
      <c r="V38" s="14">
        <f>G38</f>
        <v/>
      </c>
      <c r="W38" s="14">
        <f>O38-R38-S38-T38-U38-V38</f>
        <v/>
      </c>
      <c r="X38" s="14">
        <f>X37+L38-(R38+S38+T38+U38+V38+Q38)</f>
        <v/>
      </c>
      <c r="Y38" s="16">
        <f>F38</f>
        <v/>
      </c>
    </row>
    <row r="39">
      <c r="A39" t="n">
        <v>35</v>
      </c>
      <c r="B39">
        <f>MOD(A39-1+Headlines!$B$21-1,12)+1</f>
        <v/>
      </c>
      <c r="C39">
        <f>INT((A39-1+Headlines!$B$21-1)/12)+1</f>
        <v/>
      </c>
      <c r="D39">
        <f>VLOOKUP(B39,Headlines!$A$41:$B$52,2,FALSE)</f>
        <v/>
      </c>
      <c r="E39">
        <f>(1+Headlines!$B$20)^INT((A39-1)/12)</f>
        <v/>
      </c>
      <c r="F39">
        <f>Headlines!$B$10*VLOOKUP(B39,Headlines!$A$41:$C$52,3,FALSE)</f>
        <v/>
      </c>
      <c r="G39" s="14">
        <f>Headlines!$B$15</f>
        <v/>
      </c>
      <c r="H39" s="15">
        <f>IF(G39&gt;0,MAX(1,ROUND(G39/Headlines!$B$9*D39,0)),0)</f>
        <v/>
      </c>
      <c r="I39" s="15">
        <f>H39+H38+H37+MAX(0,I38-H38-H37)*(1-F39)</f>
        <v/>
      </c>
      <c r="J39" s="14">
        <f>I39*Headlines!$B$8*E39</f>
        <v/>
      </c>
      <c r="K39" s="14">
        <f>J39*12</f>
        <v/>
      </c>
      <c r="L39" s="14">
        <f>J39</f>
        <v/>
      </c>
      <c r="M39" s="14">
        <f>SUM(L28:L39)</f>
        <v/>
      </c>
      <c r="N39">
        <f>IF(M39&gt;=Headlines!$B$19,1,0)</f>
        <v/>
      </c>
      <c r="O39" s="14">
        <f>IF(N39,L39/(1+Headlines!$B$18),L39)</f>
        <v/>
      </c>
      <c r="P39" s="14">
        <f>L39-O39</f>
        <v/>
      </c>
      <c r="Q39" s="14">
        <f>IF(N39=0,0,IF(B39=1,SUMIFS(P$5:P39,C$5:C39,C39-1,B$5:B39,"&gt;=10",B$5:B39,"&lt;=12"),IF(B39=4,SUMIFS(P$5:P39,C$5:C39,C39,B$5:B39,"&gt;=1",B$5:B39,"&lt;=3"),IF(B39=7,SUMIFS(P$5:P39,C$5:C39,C39,B$5:B39,"&gt;=4",B$5:B39,"&lt;=6"),IF(B39=10,SUMIFS(P$5:P39,C$5:C39,C39,B$5:B39,"&gt;=7",B$5:B39,"&lt;=9"),0)))))</f>
        <v/>
      </c>
      <c r="R39" s="14">
        <f>L39*Headlines!$B$11</f>
        <v/>
      </c>
      <c r="S39" s="14">
        <f>I39*Headlines!$B$12</f>
        <v/>
      </c>
      <c r="T39" s="14">
        <f>I39*Headlines!$B$13</f>
        <v/>
      </c>
      <c r="U39" s="14">
        <f>Headlines!$B$14</f>
        <v/>
      </c>
      <c r="V39" s="14">
        <f>G39</f>
        <v/>
      </c>
      <c r="W39" s="14">
        <f>O39-R39-S39-T39-U39-V39</f>
        <v/>
      </c>
      <c r="X39" s="14">
        <f>X38+L39-(R39+S39+T39+U39+V39+Q39)</f>
        <v/>
      </c>
      <c r="Y39" s="16">
        <f>F39</f>
        <v/>
      </c>
    </row>
    <row r="40">
      <c r="A40" t="n">
        <v>36</v>
      </c>
      <c r="B40">
        <f>MOD(A40-1+Headlines!$B$21-1,12)+1</f>
        <v/>
      </c>
      <c r="C40">
        <f>INT((A40-1+Headlines!$B$21-1)/12)+1</f>
        <v/>
      </c>
      <c r="D40">
        <f>VLOOKUP(B40,Headlines!$A$41:$B$52,2,FALSE)</f>
        <v/>
      </c>
      <c r="E40">
        <f>(1+Headlines!$B$20)^INT((A40-1)/12)</f>
        <v/>
      </c>
      <c r="F40">
        <f>Headlines!$B$10*VLOOKUP(B40,Headlines!$A$41:$C$52,3,FALSE)</f>
        <v/>
      </c>
      <c r="G40" s="14">
        <f>Headlines!$B$15</f>
        <v/>
      </c>
      <c r="H40" s="15">
        <f>IF(G40&gt;0,MAX(1,ROUND(G40/Headlines!$B$9*D40,0)),0)</f>
        <v/>
      </c>
      <c r="I40" s="15">
        <f>H40+H39+H38+MAX(0,I39-H39-H38)*(1-F40)</f>
        <v/>
      </c>
      <c r="J40" s="14">
        <f>I40*Headlines!$B$8*E40</f>
        <v/>
      </c>
      <c r="K40" s="14">
        <f>J40*12</f>
        <v/>
      </c>
      <c r="L40" s="14">
        <f>J40</f>
        <v/>
      </c>
      <c r="M40" s="14">
        <f>SUM(L29:L40)</f>
        <v/>
      </c>
      <c r="N40">
        <f>IF(M40&gt;=Headlines!$B$19,1,0)</f>
        <v/>
      </c>
      <c r="O40" s="14">
        <f>IF(N40,L40/(1+Headlines!$B$18),L40)</f>
        <v/>
      </c>
      <c r="P40" s="14">
        <f>L40-O40</f>
        <v/>
      </c>
      <c r="Q40" s="14">
        <f>IF(N40=0,0,IF(B40=1,SUMIFS(P$5:P40,C$5:C40,C40-1,B$5:B40,"&gt;=10",B$5:B40,"&lt;=12"),IF(B40=4,SUMIFS(P$5:P40,C$5:C40,C40,B$5:B40,"&gt;=1",B$5:B40,"&lt;=3"),IF(B40=7,SUMIFS(P$5:P40,C$5:C40,C40,B$5:B40,"&gt;=4",B$5:B40,"&lt;=6"),IF(B40=10,SUMIFS(P$5:P40,C$5:C40,C40,B$5:B40,"&gt;=7",B$5:B40,"&lt;=9"),0)))))</f>
        <v/>
      </c>
      <c r="R40" s="14">
        <f>L40*Headlines!$B$11</f>
        <v/>
      </c>
      <c r="S40" s="14">
        <f>I40*Headlines!$B$12</f>
        <v/>
      </c>
      <c r="T40" s="14">
        <f>I40*Headlines!$B$13</f>
        <v/>
      </c>
      <c r="U40" s="14">
        <f>Headlines!$B$14</f>
        <v/>
      </c>
      <c r="V40" s="14">
        <f>G40</f>
        <v/>
      </c>
      <c r="W40" s="14">
        <f>O40-R40-S40-T40-U40-V40</f>
        <v/>
      </c>
      <c r="X40" s="14">
        <f>X39+L40-(R40+S40+T40+U40+V40+Q40)</f>
        <v/>
      </c>
      <c r="Y40" s="16">
        <f>F40</f>
        <v/>
      </c>
    </row>
    <row r="41">
      <c r="A41" t="n">
        <v>37</v>
      </c>
      <c r="B41">
        <f>MOD(A41-1+Headlines!$B$21-1,12)+1</f>
        <v/>
      </c>
      <c r="C41">
        <f>INT((A41-1+Headlines!$B$21-1)/12)+1</f>
        <v/>
      </c>
      <c r="D41">
        <f>VLOOKUP(B41,Headlines!$A$41:$B$52,2,FALSE)</f>
        <v/>
      </c>
      <c r="E41">
        <f>(1+Headlines!$B$20)^INT((A41-1)/12)</f>
        <v/>
      </c>
      <c r="F41">
        <f>Headlines!$B$10*VLOOKUP(B41,Headlines!$A$41:$C$52,3,FALSE)</f>
        <v/>
      </c>
      <c r="G41" s="14">
        <f>Headlines!$B$15</f>
        <v/>
      </c>
      <c r="H41" s="15">
        <f>IF(G41&gt;0,MAX(1,ROUND(G41/Headlines!$B$9*D41,0)),0)</f>
        <v/>
      </c>
      <c r="I41" s="15">
        <f>H41+H40+H39+MAX(0,I40-H40-H39)*(1-F41)</f>
        <v/>
      </c>
      <c r="J41" s="14">
        <f>I41*Headlines!$B$8*E41</f>
        <v/>
      </c>
      <c r="K41" s="14">
        <f>J41*12</f>
        <v/>
      </c>
      <c r="L41" s="14">
        <f>J41</f>
        <v/>
      </c>
      <c r="M41" s="14">
        <f>SUM(L30:L41)</f>
        <v/>
      </c>
      <c r="N41">
        <f>IF(M41&gt;=Headlines!$B$19,1,0)</f>
        <v/>
      </c>
      <c r="O41" s="14">
        <f>IF(N41,L41/(1+Headlines!$B$18),L41)</f>
        <v/>
      </c>
      <c r="P41" s="14">
        <f>L41-O41</f>
        <v/>
      </c>
      <c r="Q41" s="14">
        <f>IF(N41=0,0,IF(B41=1,SUMIFS(P$5:P41,C$5:C41,C41-1,B$5:B41,"&gt;=10",B$5:B41,"&lt;=12"),IF(B41=4,SUMIFS(P$5:P41,C$5:C41,C41,B$5:B41,"&gt;=1",B$5:B41,"&lt;=3"),IF(B41=7,SUMIFS(P$5:P41,C$5:C41,C41,B$5:B41,"&gt;=4",B$5:B41,"&lt;=6"),IF(B41=10,SUMIFS(P$5:P41,C$5:C41,C41,B$5:B41,"&gt;=7",B$5:B41,"&lt;=9"),0)))))</f>
        <v/>
      </c>
      <c r="R41" s="14">
        <f>L41*Headlines!$B$11</f>
        <v/>
      </c>
      <c r="S41" s="14">
        <f>I41*Headlines!$B$12</f>
        <v/>
      </c>
      <c r="T41" s="14">
        <f>I41*Headlines!$B$13</f>
        <v/>
      </c>
      <c r="U41" s="14">
        <f>Headlines!$B$14</f>
        <v/>
      </c>
      <c r="V41" s="14">
        <f>G41</f>
        <v/>
      </c>
      <c r="W41" s="14">
        <f>O41-R41-S41-T41-U41-V41</f>
        <v/>
      </c>
      <c r="X41" s="14">
        <f>X40+L41-(R41+S41+T41+U41+V41+Q41)</f>
        <v/>
      </c>
      <c r="Y41" s="16">
        <f>F41</f>
        <v/>
      </c>
    </row>
    <row r="42">
      <c r="A42" t="n">
        <v>38</v>
      </c>
      <c r="B42">
        <f>MOD(A42-1+Headlines!$B$21-1,12)+1</f>
        <v/>
      </c>
      <c r="C42">
        <f>INT((A42-1+Headlines!$B$21-1)/12)+1</f>
        <v/>
      </c>
      <c r="D42">
        <f>VLOOKUP(B42,Headlines!$A$41:$B$52,2,FALSE)</f>
        <v/>
      </c>
      <c r="E42">
        <f>(1+Headlines!$B$20)^INT((A42-1)/12)</f>
        <v/>
      </c>
      <c r="F42">
        <f>Headlines!$B$10*VLOOKUP(B42,Headlines!$A$41:$C$52,3,FALSE)</f>
        <v/>
      </c>
      <c r="G42" s="14">
        <f>Headlines!$B$15</f>
        <v/>
      </c>
      <c r="H42" s="15">
        <f>IF(G42&gt;0,MAX(1,ROUND(G42/Headlines!$B$9*D42,0)),0)</f>
        <v/>
      </c>
      <c r="I42" s="15">
        <f>H42+H41+H40+MAX(0,I41-H41-H40)*(1-F42)</f>
        <v/>
      </c>
      <c r="J42" s="14">
        <f>I42*Headlines!$B$8*E42</f>
        <v/>
      </c>
      <c r="K42" s="14">
        <f>J42*12</f>
        <v/>
      </c>
      <c r="L42" s="14">
        <f>J42</f>
        <v/>
      </c>
      <c r="M42" s="14">
        <f>SUM(L31:L42)</f>
        <v/>
      </c>
      <c r="N42">
        <f>IF(M42&gt;=Headlines!$B$19,1,0)</f>
        <v/>
      </c>
      <c r="O42" s="14">
        <f>IF(N42,L42/(1+Headlines!$B$18),L42)</f>
        <v/>
      </c>
      <c r="P42" s="14">
        <f>L42-O42</f>
        <v/>
      </c>
      <c r="Q42" s="14">
        <f>IF(N42=0,0,IF(B42=1,SUMIFS(P$5:P42,C$5:C42,C42-1,B$5:B42,"&gt;=10",B$5:B42,"&lt;=12"),IF(B42=4,SUMIFS(P$5:P42,C$5:C42,C42,B$5:B42,"&gt;=1",B$5:B42,"&lt;=3"),IF(B42=7,SUMIFS(P$5:P42,C$5:C42,C42,B$5:B42,"&gt;=4",B$5:B42,"&lt;=6"),IF(B42=10,SUMIFS(P$5:P42,C$5:C42,C42,B$5:B42,"&gt;=7",B$5:B42,"&lt;=9"),0)))))</f>
        <v/>
      </c>
      <c r="R42" s="14">
        <f>L42*Headlines!$B$11</f>
        <v/>
      </c>
      <c r="S42" s="14">
        <f>I42*Headlines!$B$12</f>
        <v/>
      </c>
      <c r="T42" s="14">
        <f>I42*Headlines!$B$13</f>
        <v/>
      </c>
      <c r="U42" s="14">
        <f>Headlines!$B$14</f>
        <v/>
      </c>
      <c r="V42" s="14">
        <f>G42</f>
        <v/>
      </c>
      <c r="W42" s="14">
        <f>O42-R42-S42-T42-U42-V42</f>
        <v/>
      </c>
      <c r="X42" s="14">
        <f>X41+L42-(R42+S42+T42+U42+V42+Q42)</f>
        <v/>
      </c>
      <c r="Y42" s="16">
        <f>F42</f>
        <v/>
      </c>
    </row>
    <row r="43">
      <c r="A43" t="n">
        <v>39</v>
      </c>
      <c r="B43">
        <f>MOD(A43-1+Headlines!$B$21-1,12)+1</f>
        <v/>
      </c>
      <c r="C43">
        <f>INT((A43-1+Headlines!$B$21-1)/12)+1</f>
        <v/>
      </c>
      <c r="D43">
        <f>VLOOKUP(B43,Headlines!$A$41:$B$52,2,FALSE)</f>
        <v/>
      </c>
      <c r="E43">
        <f>(1+Headlines!$B$20)^INT((A43-1)/12)</f>
        <v/>
      </c>
      <c r="F43">
        <f>Headlines!$B$10*VLOOKUP(B43,Headlines!$A$41:$C$52,3,FALSE)</f>
        <v/>
      </c>
      <c r="G43" s="14">
        <f>Headlines!$B$15</f>
        <v/>
      </c>
      <c r="H43" s="15">
        <f>IF(G43&gt;0,MAX(1,ROUND(G43/Headlines!$B$9*D43,0)),0)</f>
        <v/>
      </c>
      <c r="I43" s="15">
        <f>H43+H42+H41+MAX(0,I42-H42-H41)*(1-F43)</f>
        <v/>
      </c>
      <c r="J43" s="14">
        <f>I43*Headlines!$B$8*E43</f>
        <v/>
      </c>
      <c r="K43" s="14">
        <f>J43*12</f>
        <v/>
      </c>
      <c r="L43" s="14">
        <f>J43</f>
        <v/>
      </c>
      <c r="M43" s="14">
        <f>SUM(L32:L43)</f>
        <v/>
      </c>
      <c r="N43">
        <f>IF(M43&gt;=Headlines!$B$19,1,0)</f>
        <v/>
      </c>
      <c r="O43" s="14">
        <f>IF(N43,L43/(1+Headlines!$B$18),L43)</f>
        <v/>
      </c>
      <c r="P43" s="14">
        <f>L43-O43</f>
        <v/>
      </c>
      <c r="Q43" s="14">
        <f>IF(N43=0,0,IF(B43=1,SUMIFS(P$5:P43,C$5:C43,C43-1,B$5:B43,"&gt;=10",B$5:B43,"&lt;=12"),IF(B43=4,SUMIFS(P$5:P43,C$5:C43,C43,B$5:B43,"&gt;=1",B$5:B43,"&lt;=3"),IF(B43=7,SUMIFS(P$5:P43,C$5:C43,C43,B$5:B43,"&gt;=4",B$5:B43,"&lt;=6"),IF(B43=10,SUMIFS(P$5:P43,C$5:C43,C43,B$5:B43,"&gt;=7",B$5:B43,"&lt;=9"),0)))))</f>
        <v/>
      </c>
      <c r="R43" s="14">
        <f>L43*Headlines!$B$11</f>
        <v/>
      </c>
      <c r="S43" s="14">
        <f>I43*Headlines!$B$12</f>
        <v/>
      </c>
      <c r="T43" s="14">
        <f>I43*Headlines!$B$13</f>
        <v/>
      </c>
      <c r="U43" s="14">
        <f>Headlines!$B$14</f>
        <v/>
      </c>
      <c r="V43" s="14">
        <f>G43</f>
        <v/>
      </c>
      <c r="W43" s="14">
        <f>O43-R43-S43-T43-U43-V43</f>
        <v/>
      </c>
      <c r="X43" s="14">
        <f>X42+L43-(R43+S43+T43+U43+V43+Q43)</f>
        <v/>
      </c>
      <c r="Y43" s="16">
        <f>F43</f>
        <v/>
      </c>
    </row>
    <row r="44">
      <c r="A44" t="n">
        <v>40</v>
      </c>
      <c r="B44">
        <f>MOD(A44-1+Headlines!$B$21-1,12)+1</f>
        <v/>
      </c>
      <c r="C44">
        <f>INT((A44-1+Headlines!$B$21-1)/12)+1</f>
        <v/>
      </c>
      <c r="D44">
        <f>VLOOKUP(B44,Headlines!$A$41:$B$52,2,FALSE)</f>
        <v/>
      </c>
      <c r="E44">
        <f>(1+Headlines!$B$20)^INT((A44-1)/12)</f>
        <v/>
      </c>
      <c r="F44">
        <f>Headlines!$B$10*VLOOKUP(B44,Headlines!$A$41:$C$52,3,FALSE)</f>
        <v/>
      </c>
      <c r="G44" s="14">
        <f>Headlines!$B$15</f>
        <v/>
      </c>
      <c r="H44" s="15">
        <f>IF(G44&gt;0,MAX(1,ROUND(G44/Headlines!$B$9*D44,0)),0)</f>
        <v/>
      </c>
      <c r="I44" s="15">
        <f>H44+H43+H42+MAX(0,I43-H43-H42)*(1-F44)</f>
        <v/>
      </c>
      <c r="J44" s="14">
        <f>I44*Headlines!$B$8*E44</f>
        <v/>
      </c>
      <c r="K44" s="14">
        <f>J44*12</f>
        <v/>
      </c>
      <c r="L44" s="14">
        <f>J44</f>
        <v/>
      </c>
      <c r="M44" s="14">
        <f>SUM(L33:L44)</f>
        <v/>
      </c>
      <c r="N44">
        <f>IF(M44&gt;=Headlines!$B$19,1,0)</f>
        <v/>
      </c>
      <c r="O44" s="14">
        <f>IF(N44,L44/(1+Headlines!$B$18),L44)</f>
        <v/>
      </c>
      <c r="P44" s="14">
        <f>L44-O44</f>
        <v/>
      </c>
      <c r="Q44" s="14">
        <f>IF(N44=0,0,IF(B44=1,SUMIFS(P$5:P44,C$5:C44,C44-1,B$5:B44,"&gt;=10",B$5:B44,"&lt;=12"),IF(B44=4,SUMIFS(P$5:P44,C$5:C44,C44,B$5:B44,"&gt;=1",B$5:B44,"&lt;=3"),IF(B44=7,SUMIFS(P$5:P44,C$5:C44,C44,B$5:B44,"&gt;=4",B$5:B44,"&lt;=6"),IF(B44=10,SUMIFS(P$5:P44,C$5:C44,C44,B$5:B44,"&gt;=7",B$5:B44,"&lt;=9"),0)))))</f>
        <v/>
      </c>
      <c r="R44" s="14">
        <f>L44*Headlines!$B$11</f>
        <v/>
      </c>
      <c r="S44" s="14">
        <f>I44*Headlines!$B$12</f>
        <v/>
      </c>
      <c r="T44" s="14">
        <f>I44*Headlines!$B$13</f>
        <v/>
      </c>
      <c r="U44" s="14">
        <f>Headlines!$B$14</f>
        <v/>
      </c>
      <c r="V44" s="14">
        <f>G44</f>
        <v/>
      </c>
      <c r="W44" s="14">
        <f>O44-R44-S44-T44-U44-V44</f>
        <v/>
      </c>
      <c r="X44" s="14">
        <f>X43+L44-(R44+S44+T44+U44+V44+Q44)</f>
        <v/>
      </c>
      <c r="Y44" s="16">
        <f>F44</f>
        <v/>
      </c>
    </row>
    <row r="45">
      <c r="A45" t="n">
        <v>41</v>
      </c>
      <c r="B45">
        <f>MOD(A45-1+Headlines!$B$21-1,12)+1</f>
        <v/>
      </c>
      <c r="C45">
        <f>INT((A45-1+Headlines!$B$21-1)/12)+1</f>
        <v/>
      </c>
      <c r="D45">
        <f>VLOOKUP(B45,Headlines!$A$41:$B$52,2,FALSE)</f>
        <v/>
      </c>
      <c r="E45">
        <f>(1+Headlines!$B$20)^INT((A45-1)/12)</f>
        <v/>
      </c>
      <c r="F45">
        <f>Headlines!$B$10*VLOOKUP(B45,Headlines!$A$41:$C$52,3,FALSE)</f>
        <v/>
      </c>
      <c r="G45" s="14">
        <f>Headlines!$B$15</f>
        <v/>
      </c>
      <c r="H45" s="15">
        <f>IF(G45&gt;0,MAX(1,ROUND(G45/Headlines!$B$9*D45,0)),0)</f>
        <v/>
      </c>
      <c r="I45" s="15">
        <f>H45+H44+H43+MAX(0,I44-H44-H43)*(1-F45)</f>
        <v/>
      </c>
      <c r="J45" s="14">
        <f>I45*Headlines!$B$8*E45</f>
        <v/>
      </c>
      <c r="K45" s="14">
        <f>J45*12</f>
        <v/>
      </c>
      <c r="L45" s="14">
        <f>J45</f>
        <v/>
      </c>
      <c r="M45" s="14">
        <f>SUM(L34:L45)</f>
        <v/>
      </c>
      <c r="N45">
        <f>IF(M45&gt;=Headlines!$B$19,1,0)</f>
        <v/>
      </c>
      <c r="O45" s="14">
        <f>IF(N45,L45/(1+Headlines!$B$18),L45)</f>
        <v/>
      </c>
      <c r="P45" s="14">
        <f>L45-O45</f>
        <v/>
      </c>
      <c r="Q45" s="14">
        <f>IF(N45=0,0,IF(B45=1,SUMIFS(P$5:P45,C$5:C45,C45-1,B$5:B45,"&gt;=10",B$5:B45,"&lt;=12"),IF(B45=4,SUMIFS(P$5:P45,C$5:C45,C45,B$5:B45,"&gt;=1",B$5:B45,"&lt;=3"),IF(B45=7,SUMIFS(P$5:P45,C$5:C45,C45,B$5:B45,"&gt;=4",B$5:B45,"&lt;=6"),IF(B45=10,SUMIFS(P$5:P45,C$5:C45,C45,B$5:B45,"&gt;=7",B$5:B45,"&lt;=9"),0)))))</f>
        <v/>
      </c>
      <c r="R45" s="14">
        <f>L45*Headlines!$B$11</f>
        <v/>
      </c>
      <c r="S45" s="14">
        <f>I45*Headlines!$B$12</f>
        <v/>
      </c>
      <c r="T45" s="14">
        <f>I45*Headlines!$B$13</f>
        <v/>
      </c>
      <c r="U45" s="14">
        <f>Headlines!$B$14</f>
        <v/>
      </c>
      <c r="V45" s="14">
        <f>G45</f>
        <v/>
      </c>
      <c r="W45" s="14">
        <f>O45-R45-S45-T45-U45-V45</f>
        <v/>
      </c>
      <c r="X45" s="14">
        <f>X44+L45-(R45+S45+T45+U45+V45+Q45)</f>
        <v/>
      </c>
      <c r="Y45" s="16">
        <f>F45</f>
        <v/>
      </c>
    </row>
    <row r="46">
      <c r="A46" t="n">
        <v>42</v>
      </c>
      <c r="B46">
        <f>MOD(A46-1+Headlines!$B$21-1,12)+1</f>
        <v/>
      </c>
      <c r="C46">
        <f>INT((A46-1+Headlines!$B$21-1)/12)+1</f>
        <v/>
      </c>
      <c r="D46">
        <f>VLOOKUP(B46,Headlines!$A$41:$B$52,2,FALSE)</f>
        <v/>
      </c>
      <c r="E46">
        <f>(1+Headlines!$B$20)^INT((A46-1)/12)</f>
        <v/>
      </c>
      <c r="F46">
        <f>Headlines!$B$10*VLOOKUP(B46,Headlines!$A$41:$C$52,3,FALSE)</f>
        <v/>
      </c>
      <c r="G46" s="14">
        <f>Headlines!$B$15</f>
        <v/>
      </c>
      <c r="H46" s="15">
        <f>IF(G46&gt;0,MAX(1,ROUND(G46/Headlines!$B$9*D46,0)),0)</f>
        <v/>
      </c>
      <c r="I46" s="15">
        <f>H46+H45+H44+MAX(0,I45-H45-H44)*(1-F46)</f>
        <v/>
      </c>
      <c r="J46" s="14">
        <f>I46*Headlines!$B$8*E46</f>
        <v/>
      </c>
      <c r="K46" s="14">
        <f>J46*12</f>
        <v/>
      </c>
      <c r="L46" s="14">
        <f>J46</f>
        <v/>
      </c>
      <c r="M46" s="14">
        <f>SUM(L35:L46)</f>
        <v/>
      </c>
      <c r="N46">
        <f>IF(M46&gt;=Headlines!$B$19,1,0)</f>
        <v/>
      </c>
      <c r="O46" s="14">
        <f>IF(N46,L46/(1+Headlines!$B$18),L46)</f>
        <v/>
      </c>
      <c r="P46" s="14">
        <f>L46-O46</f>
        <v/>
      </c>
      <c r="Q46" s="14">
        <f>IF(N46=0,0,IF(B46=1,SUMIFS(P$5:P46,C$5:C46,C46-1,B$5:B46,"&gt;=10",B$5:B46,"&lt;=12"),IF(B46=4,SUMIFS(P$5:P46,C$5:C46,C46,B$5:B46,"&gt;=1",B$5:B46,"&lt;=3"),IF(B46=7,SUMIFS(P$5:P46,C$5:C46,C46,B$5:B46,"&gt;=4",B$5:B46,"&lt;=6"),IF(B46=10,SUMIFS(P$5:P46,C$5:C46,C46,B$5:B46,"&gt;=7",B$5:B46,"&lt;=9"),0)))))</f>
        <v/>
      </c>
      <c r="R46" s="14">
        <f>L46*Headlines!$B$11</f>
        <v/>
      </c>
      <c r="S46" s="14">
        <f>I46*Headlines!$B$12</f>
        <v/>
      </c>
      <c r="T46" s="14">
        <f>I46*Headlines!$B$13</f>
        <v/>
      </c>
      <c r="U46" s="14">
        <f>Headlines!$B$14</f>
        <v/>
      </c>
      <c r="V46" s="14">
        <f>G46</f>
        <v/>
      </c>
      <c r="W46" s="14">
        <f>O46-R46-S46-T46-U46-V46</f>
        <v/>
      </c>
      <c r="X46" s="14">
        <f>X45+L46-(R46+S46+T46+U46+V46+Q46)</f>
        <v/>
      </c>
      <c r="Y46" s="16">
        <f>F46</f>
        <v/>
      </c>
    </row>
    <row r="47">
      <c r="A47" t="n">
        <v>43</v>
      </c>
      <c r="B47">
        <f>MOD(A47-1+Headlines!$B$21-1,12)+1</f>
        <v/>
      </c>
      <c r="C47">
        <f>INT((A47-1+Headlines!$B$21-1)/12)+1</f>
        <v/>
      </c>
      <c r="D47">
        <f>VLOOKUP(B47,Headlines!$A$41:$B$52,2,FALSE)</f>
        <v/>
      </c>
      <c r="E47">
        <f>(1+Headlines!$B$20)^INT((A47-1)/12)</f>
        <v/>
      </c>
      <c r="F47">
        <f>Headlines!$B$10*VLOOKUP(B47,Headlines!$A$41:$C$52,3,FALSE)</f>
        <v/>
      </c>
      <c r="G47" s="14">
        <f>Headlines!$B$15</f>
        <v/>
      </c>
      <c r="H47" s="15">
        <f>IF(G47&gt;0,MAX(1,ROUND(G47/Headlines!$B$9*D47,0)),0)</f>
        <v/>
      </c>
      <c r="I47" s="15">
        <f>H47+H46+H45+MAX(0,I46-H46-H45)*(1-F47)</f>
        <v/>
      </c>
      <c r="J47" s="14">
        <f>I47*Headlines!$B$8*E47</f>
        <v/>
      </c>
      <c r="K47" s="14">
        <f>J47*12</f>
        <v/>
      </c>
      <c r="L47" s="14">
        <f>J47</f>
        <v/>
      </c>
      <c r="M47" s="14">
        <f>SUM(L36:L47)</f>
        <v/>
      </c>
      <c r="N47">
        <f>IF(M47&gt;=Headlines!$B$19,1,0)</f>
        <v/>
      </c>
      <c r="O47" s="14">
        <f>IF(N47,L47/(1+Headlines!$B$18),L47)</f>
        <v/>
      </c>
      <c r="P47" s="14">
        <f>L47-O47</f>
        <v/>
      </c>
      <c r="Q47" s="14">
        <f>IF(N47=0,0,IF(B47=1,SUMIFS(P$5:P47,C$5:C47,C47-1,B$5:B47,"&gt;=10",B$5:B47,"&lt;=12"),IF(B47=4,SUMIFS(P$5:P47,C$5:C47,C47,B$5:B47,"&gt;=1",B$5:B47,"&lt;=3"),IF(B47=7,SUMIFS(P$5:P47,C$5:C47,C47,B$5:B47,"&gt;=4",B$5:B47,"&lt;=6"),IF(B47=10,SUMIFS(P$5:P47,C$5:C47,C47,B$5:B47,"&gt;=7",B$5:B47,"&lt;=9"),0)))))</f>
        <v/>
      </c>
      <c r="R47" s="14">
        <f>L47*Headlines!$B$11</f>
        <v/>
      </c>
      <c r="S47" s="14">
        <f>I47*Headlines!$B$12</f>
        <v/>
      </c>
      <c r="T47" s="14">
        <f>I47*Headlines!$B$13</f>
        <v/>
      </c>
      <c r="U47" s="14">
        <f>Headlines!$B$14</f>
        <v/>
      </c>
      <c r="V47" s="14">
        <f>G47</f>
        <v/>
      </c>
      <c r="W47" s="14">
        <f>O47-R47-S47-T47-U47-V47</f>
        <v/>
      </c>
      <c r="X47" s="14">
        <f>X46+L47-(R47+S47+T47+U47+V47+Q47)</f>
        <v/>
      </c>
      <c r="Y47" s="16">
        <f>F47</f>
        <v/>
      </c>
    </row>
    <row r="48">
      <c r="A48" t="n">
        <v>44</v>
      </c>
      <c r="B48">
        <f>MOD(A48-1+Headlines!$B$21-1,12)+1</f>
        <v/>
      </c>
      <c r="C48">
        <f>INT((A48-1+Headlines!$B$21-1)/12)+1</f>
        <v/>
      </c>
      <c r="D48">
        <f>VLOOKUP(B48,Headlines!$A$41:$B$52,2,FALSE)</f>
        <v/>
      </c>
      <c r="E48">
        <f>(1+Headlines!$B$20)^INT((A48-1)/12)</f>
        <v/>
      </c>
      <c r="F48">
        <f>Headlines!$B$10*VLOOKUP(B48,Headlines!$A$41:$C$52,3,FALSE)</f>
        <v/>
      </c>
      <c r="G48" s="14">
        <f>Headlines!$B$15</f>
        <v/>
      </c>
      <c r="H48" s="15">
        <f>IF(G48&gt;0,MAX(1,ROUND(G48/Headlines!$B$9*D48,0)),0)</f>
        <v/>
      </c>
      <c r="I48" s="15">
        <f>H48+H47+H46+MAX(0,I47-H47-H46)*(1-F48)</f>
        <v/>
      </c>
      <c r="J48" s="14">
        <f>I48*Headlines!$B$8*E48</f>
        <v/>
      </c>
      <c r="K48" s="14">
        <f>J48*12</f>
        <v/>
      </c>
      <c r="L48" s="14">
        <f>J48</f>
        <v/>
      </c>
      <c r="M48" s="14">
        <f>SUM(L37:L48)</f>
        <v/>
      </c>
      <c r="N48">
        <f>IF(M48&gt;=Headlines!$B$19,1,0)</f>
        <v/>
      </c>
      <c r="O48" s="14">
        <f>IF(N48,L48/(1+Headlines!$B$18),L48)</f>
        <v/>
      </c>
      <c r="P48" s="14">
        <f>L48-O48</f>
        <v/>
      </c>
      <c r="Q48" s="14">
        <f>IF(N48=0,0,IF(B48=1,SUMIFS(P$5:P48,C$5:C48,C48-1,B$5:B48,"&gt;=10",B$5:B48,"&lt;=12"),IF(B48=4,SUMIFS(P$5:P48,C$5:C48,C48,B$5:B48,"&gt;=1",B$5:B48,"&lt;=3"),IF(B48=7,SUMIFS(P$5:P48,C$5:C48,C48,B$5:B48,"&gt;=4",B$5:B48,"&lt;=6"),IF(B48=10,SUMIFS(P$5:P48,C$5:C48,C48,B$5:B48,"&gt;=7",B$5:B48,"&lt;=9"),0)))))</f>
        <v/>
      </c>
      <c r="R48" s="14">
        <f>L48*Headlines!$B$11</f>
        <v/>
      </c>
      <c r="S48" s="14">
        <f>I48*Headlines!$B$12</f>
        <v/>
      </c>
      <c r="T48" s="14">
        <f>I48*Headlines!$B$13</f>
        <v/>
      </c>
      <c r="U48" s="14">
        <f>Headlines!$B$14</f>
        <v/>
      </c>
      <c r="V48" s="14">
        <f>G48</f>
        <v/>
      </c>
      <c r="W48" s="14">
        <f>O48-R48-S48-T48-U48-V48</f>
        <v/>
      </c>
      <c r="X48" s="14">
        <f>X47+L48-(R48+S48+T48+U48+V48+Q48)</f>
        <v/>
      </c>
      <c r="Y48" s="16">
        <f>F48</f>
        <v/>
      </c>
    </row>
    <row r="49">
      <c r="A49" t="n">
        <v>45</v>
      </c>
      <c r="B49">
        <f>MOD(A49-1+Headlines!$B$21-1,12)+1</f>
        <v/>
      </c>
      <c r="C49">
        <f>INT((A49-1+Headlines!$B$21-1)/12)+1</f>
        <v/>
      </c>
      <c r="D49">
        <f>VLOOKUP(B49,Headlines!$A$41:$B$52,2,FALSE)</f>
        <v/>
      </c>
      <c r="E49">
        <f>(1+Headlines!$B$20)^INT((A49-1)/12)</f>
        <v/>
      </c>
      <c r="F49">
        <f>Headlines!$B$10*VLOOKUP(B49,Headlines!$A$41:$C$52,3,FALSE)</f>
        <v/>
      </c>
      <c r="G49" s="14">
        <f>Headlines!$B$15</f>
        <v/>
      </c>
      <c r="H49" s="15">
        <f>IF(G49&gt;0,MAX(1,ROUND(G49/Headlines!$B$9*D49,0)),0)</f>
        <v/>
      </c>
      <c r="I49" s="15">
        <f>H49+H48+H47+MAX(0,I48-H48-H47)*(1-F49)</f>
        <v/>
      </c>
      <c r="J49" s="14">
        <f>I49*Headlines!$B$8*E49</f>
        <v/>
      </c>
      <c r="K49" s="14">
        <f>J49*12</f>
        <v/>
      </c>
      <c r="L49" s="14">
        <f>J49</f>
        <v/>
      </c>
      <c r="M49" s="14">
        <f>SUM(L38:L49)</f>
        <v/>
      </c>
      <c r="N49">
        <f>IF(M49&gt;=Headlines!$B$19,1,0)</f>
        <v/>
      </c>
      <c r="O49" s="14">
        <f>IF(N49,L49/(1+Headlines!$B$18),L49)</f>
        <v/>
      </c>
      <c r="P49" s="14">
        <f>L49-O49</f>
        <v/>
      </c>
      <c r="Q49" s="14">
        <f>IF(N49=0,0,IF(B49=1,SUMIFS(P$5:P49,C$5:C49,C49-1,B$5:B49,"&gt;=10",B$5:B49,"&lt;=12"),IF(B49=4,SUMIFS(P$5:P49,C$5:C49,C49,B$5:B49,"&gt;=1",B$5:B49,"&lt;=3"),IF(B49=7,SUMIFS(P$5:P49,C$5:C49,C49,B$5:B49,"&gt;=4",B$5:B49,"&lt;=6"),IF(B49=10,SUMIFS(P$5:P49,C$5:C49,C49,B$5:B49,"&gt;=7",B$5:B49,"&lt;=9"),0)))))</f>
        <v/>
      </c>
      <c r="R49" s="14">
        <f>L49*Headlines!$B$11</f>
        <v/>
      </c>
      <c r="S49" s="14">
        <f>I49*Headlines!$B$12</f>
        <v/>
      </c>
      <c r="T49" s="14">
        <f>I49*Headlines!$B$13</f>
        <v/>
      </c>
      <c r="U49" s="14">
        <f>Headlines!$B$14</f>
        <v/>
      </c>
      <c r="V49" s="14">
        <f>G49</f>
        <v/>
      </c>
      <c r="W49" s="14">
        <f>O49-R49-S49-T49-U49-V49</f>
        <v/>
      </c>
      <c r="X49" s="14">
        <f>X48+L49-(R49+S49+T49+U49+V49+Q49)</f>
        <v/>
      </c>
      <c r="Y49" s="16">
        <f>F49</f>
        <v/>
      </c>
    </row>
    <row r="50">
      <c r="A50" t="n">
        <v>46</v>
      </c>
      <c r="B50">
        <f>MOD(A50-1+Headlines!$B$21-1,12)+1</f>
        <v/>
      </c>
      <c r="C50">
        <f>INT((A50-1+Headlines!$B$21-1)/12)+1</f>
        <v/>
      </c>
      <c r="D50">
        <f>VLOOKUP(B50,Headlines!$A$41:$B$52,2,FALSE)</f>
        <v/>
      </c>
      <c r="E50">
        <f>(1+Headlines!$B$20)^INT((A50-1)/12)</f>
        <v/>
      </c>
      <c r="F50">
        <f>Headlines!$B$10*VLOOKUP(B50,Headlines!$A$41:$C$52,3,FALSE)</f>
        <v/>
      </c>
      <c r="G50" s="14">
        <f>Headlines!$B$15</f>
        <v/>
      </c>
      <c r="H50" s="15">
        <f>IF(G50&gt;0,MAX(1,ROUND(G50/Headlines!$B$9*D50,0)),0)</f>
        <v/>
      </c>
      <c r="I50" s="15">
        <f>H50+H49+H48+MAX(0,I49-H49-H48)*(1-F50)</f>
        <v/>
      </c>
      <c r="J50" s="14">
        <f>I50*Headlines!$B$8*E50</f>
        <v/>
      </c>
      <c r="K50" s="14">
        <f>J50*12</f>
        <v/>
      </c>
      <c r="L50" s="14">
        <f>J50</f>
        <v/>
      </c>
      <c r="M50" s="14">
        <f>SUM(L39:L50)</f>
        <v/>
      </c>
      <c r="N50">
        <f>IF(M50&gt;=Headlines!$B$19,1,0)</f>
        <v/>
      </c>
      <c r="O50" s="14">
        <f>IF(N50,L50/(1+Headlines!$B$18),L50)</f>
        <v/>
      </c>
      <c r="P50" s="14">
        <f>L50-O50</f>
        <v/>
      </c>
      <c r="Q50" s="14">
        <f>IF(N50=0,0,IF(B50=1,SUMIFS(P$5:P50,C$5:C50,C50-1,B$5:B50,"&gt;=10",B$5:B50,"&lt;=12"),IF(B50=4,SUMIFS(P$5:P50,C$5:C50,C50,B$5:B50,"&gt;=1",B$5:B50,"&lt;=3"),IF(B50=7,SUMIFS(P$5:P50,C$5:C50,C50,B$5:B50,"&gt;=4",B$5:B50,"&lt;=6"),IF(B50=10,SUMIFS(P$5:P50,C$5:C50,C50,B$5:B50,"&gt;=7",B$5:B50,"&lt;=9"),0)))))</f>
        <v/>
      </c>
      <c r="R50" s="14">
        <f>L50*Headlines!$B$11</f>
        <v/>
      </c>
      <c r="S50" s="14">
        <f>I50*Headlines!$B$12</f>
        <v/>
      </c>
      <c r="T50" s="14">
        <f>I50*Headlines!$B$13</f>
        <v/>
      </c>
      <c r="U50" s="14">
        <f>Headlines!$B$14</f>
        <v/>
      </c>
      <c r="V50" s="14">
        <f>G50</f>
        <v/>
      </c>
      <c r="W50" s="14">
        <f>O50-R50-S50-T50-U50-V50</f>
        <v/>
      </c>
      <c r="X50" s="14">
        <f>X49+L50-(R50+S50+T50+U50+V50+Q50)</f>
        <v/>
      </c>
      <c r="Y50" s="16">
        <f>F50</f>
        <v/>
      </c>
    </row>
    <row r="51">
      <c r="A51" t="n">
        <v>47</v>
      </c>
      <c r="B51">
        <f>MOD(A51-1+Headlines!$B$21-1,12)+1</f>
        <v/>
      </c>
      <c r="C51">
        <f>INT((A51-1+Headlines!$B$21-1)/12)+1</f>
        <v/>
      </c>
      <c r="D51">
        <f>VLOOKUP(B51,Headlines!$A$41:$B$52,2,FALSE)</f>
        <v/>
      </c>
      <c r="E51">
        <f>(1+Headlines!$B$20)^INT((A51-1)/12)</f>
        <v/>
      </c>
      <c r="F51">
        <f>Headlines!$B$10*VLOOKUP(B51,Headlines!$A$41:$C$52,3,FALSE)</f>
        <v/>
      </c>
      <c r="G51" s="14">
        <f>Headlines!$B$15</f>
        <v/>
      </c>
      <c r="H51" s="15">
        <f>IF(G51&gt;0,MAX(1,ROUND(G51/Headlines!$B$9*D51,0)),0)</f>
        <v/>
      </c>
      <c r="I51" s="15">
        <f>H51+H50+H49+MAX(0,I50-H50-H49)*(1-F51)</f>
        <v/>
      </c>
      <c r="J51" s="14">
        <f>I51*Headlines!$B$8*E51</f>
        <v/>
      </c>
      <c r="K51" s="14">
        <f>J51*12</f>
        <v/>
      </c>
      <c r="L51" s="14">
        <f>J51</f>
        <v/>
      </c>
      <c r="M51" s="14">
        <f>SUM(L40:L51)</f>
        <v/>
      </c>
      <c r="N51">
        <f>IF(M51&gt;=Headlines!$B$19,1,0)</f>
        <v/>
      </c>
      <c r="O51" s="14">
        <f>IF(N51,L51/(1+Headlines!$B$18),L51)</f>
        <v/>
      </c>
      <c r="P51" s="14">
        <f>L51-O51</f>
        <v/>
      </c>
      <c r="Q51" s="14">
        <f>IF(N51=0,0,IF(B51=1,SUMIFS(P$5:P51,C$5:C51,C51-1,B$5:B51,"&gt;=10",B$5:B51,"&lt;=12"),IF(B51=4,SUMIFS(P$5:P51,C$5:C51,C51,B$5:B51,"&gt;=1",B$5:B51,"&lt;=3"),IF(B51=7,SUMIFS(P$5:P51,C$5:C51,C51,B$5:B51,"&gt;=4",B$5:B51,"&lt;=6"),IF(B51=10,SUMIFS(P$5:P51,C$5:C51,C51,B$5:B51,"&gt;=7",B$5:B51,"&lt;=9"),0)))))</f>
        <v/>
      </c>
      <c r="R51" s="14">
        <f>L51*Headlines!$B$11</f>
        <v/>
      </c>
      <c r="S51" s="14">
        <f>I51*Headlines!$B$12</f>
        <v/>
      </c>
      <c r="T51" s="14">
        <f>I51*Headlines!$B$13</f>
        <v/>
      </c>
      <c r="U51" s="14">
        <f>Headlines!$B$14</f>
        <v/>
      </c>
      <c r="V51" s="14">
        <f>G51</f>
        <v/>
      </c>
      <c r="W51" s="14">
        <f>O51-R51-S51-T51-U51-V51</f>
        <v/>
      </c>
      <c r="X51" s="14">
        <f>X50+L51-(R51+S51+T51+U51+V51+Q51)</f>
        <v/>
      </c>
      <c r="Y51" s="16">
        <f>F51</f>
        <v/>
      </c>
    </row>
    <row r="52">
      <c r="A52" t="n">
        <v>48</v>
      </c>
      <c r="B52">
        <f>MOD(A52-1+Headlines!$B$21-1,12)+1</f>
        <v/>
      </c>
      <c r="C52">
        <f>INT((A52-1+Headlines!$B$21-1)/12)+1</f>
        <v/>
      </c>
      <c r="D52">
        <f>VLOOKUP(B52,Headlines!$A$41:$B$52,2,FALSE)</f>
        <v/>
      </c>
      <c r="E52">
        <f>(1+Headlines!$B$20)^INT((A52-1)/12)</f>
        <v/>
      </c>
      <c r="F52">
        <f>Headlines!$B$10*VLOOKUP(B52,Headlines!$A$41:$C$52,3,FALSE)</f>
        <v/>
      </c>
      <c r="G52" s="14">
        <f>Headlines!$B$15</f>
        <v/>
      </c>
      <c r="H52" s="15">
        <f>IF(G52&gt;0,MAX(1,ROUND(G52/Headlines!$B$9*D52,0)),0)</f>
        <v/>
      </c>
      <c r="I52" s="15">
        <f>H52+H51+H50+MAX(0,I51-H51-H50)*(1-F52)</f>
        <v/>
      </c>
      <c r="J52" s="14">
        <f>I52*Headlines!$B$8*E52</f>
        <v/>
      </c>
      <c r="K52" s="14">
        <f>J52*12</f>
        <v/>
      </c>
      <c r="L52" s="14">
        <f>J52</f>
        <v/>
      </c>
      <c r="M52" s="14">
        <f>SUM(L41:L52)</f>
        <v/>
      </c>
      <c r="N52">
        <f>IF(M52&gt;=Headlines!$B$19,1,0)</f>
        <v/>
      </c>
      <c r="O52" s="14">
        <f>IF(N52,L52/(1+Headlines!$B$18),L52)</f>
        <v/>
      </c>
      <c r="P52" s="14">
        <f>L52-O52</f>
        <v/>
      </c>
      <c r="Q52" s="14">
        <f>IF(N52=0,0,IF(B52=1,SUMIFS(P$5:P52,C$5:C52,C52-1,B$5:B52,"&gt;=10",B$5:B52,"&lt;=12"),IF(B52=4,SUMIFS(P$5:P52,C$5:C52,C52,B$5:B52,"&gt;=1",B$5:B52,"&lt;=3"),IF(B52=7,SUMIFS(P$5:P52,C$5:C52,C52,B$5:B52,"&gt;=4",B$5:B52,"&lt;=6"),IF(B52=10,SUMIFS(P$5:P52,C$5:C52,C52,B$5:B52,"&gt;=7",B$5:B52,"&lt;=9"),0)))))</f>
        <v/>
      </c>
      <c r="R52" s="14">
        <f>L52*Headlines!$B$11</f>
        <v/>
      </c>
      <c r="S52" s="14">
        <f>I52*Headlines!$B$12</f>
        <v/>
      </c>
      <c r="T52" s="14">
        <f>I52*Headlines!$B$13</f>
        <v/>
      </c>
      <c r="U52" s="14">
        <f>Headlines!$B$14</f>
        <v/>
      </c>
      <c r="V52" s="14">
        <f>G52</f>
        <v/>
      </c>
      <c r="W52" s="14">
        <f>O52-R52-S52-T52-U52-V52</f>
        <v/>
      </c>
      <c r="X52" s="14">
        <f>X51+L52-(R52+S52+T52+U52+V52+Q52)</f>
        <v/>
      </c>
      <c r="Y52" s="16">
        <f>F52</f>
        <v/>
      </c>
    </row>
    <row r="53">
      <c r="A53" t="n">
        <v>49</v>
      </c>
      <c r="B53">
        <f>MOD(A53-1+Headlines!$B$21-1,12)+1</f>
        <v/>
      </c>
      <c r="C53">
        <f>INT((A53-1+Headlines!$B$21-1)/12)+1</f>
        <v/>
      </c>
      <c r="D53">
        <f>VLOOKUP(B53,Headlines!$A$41:$B$52,2,FALSE)</f>
        <v/>
      </c>
      <c r="E53">
        <f>(1+Headlines!$B$20)^INT((A53-1)/12)</f>
        <v/>
      </c>
      <c r="F53">
        <f>Headlines!$B$10*VLOOKUP(B53,Headlines!$A$41:$C$52,3,FALSE)</f>
        <v/>
      </c>
      <c r="G53" s="14">
        <f>Headlines!$B$15</f>
        <v/>
      </c>
      <c r="H53" s="15">
        <f>IF(G53&gt;0,MAX(1,ROUND(G53/Headlines!$B$9*D53,0)),0)</f>
        <v/>
      </c>
      <c r="I53" s="15">
        <f>H53+H52+H51+MAX(0,I52-H52-H51)*(1-F53)</f>
        <v/>
      </c>
      <c r="J53" s="14">
        <f>I53*Headlines!$B$8*E53</f>
        <v/>
      </c>
      <c r="K53" s="14">
        <f>J53*12</f>
        <v/>
      </c>
      <c r="L53" s="14">
        <f>J53</f>
        <v/>
      </c>
      <c r="M53" s="14">
        <f>SUM(L42:L53)</f>
        <v/>
      </c>
      <c r="N53">
        <f>IF(M53&gt;=Headlines!$B$19,1,0)</f>
        <v/>
      </c>
      <c r="O53" s="14">
        <f>IF(N53,L53/(1+Headlines!$B$18),L53)</f>
        <v/>
      </c>
      <c r="P53" s="14">
        <f>L53-O53</f>
        <v/>
      </c>
      <c r="Q53" s="14">
        <f>IF(N53=0,0,IF(B53=1,SUMIFS(P$5:P53,C$5:C53,C53-1,B$5:B53,"&gt;=10",B$5:B53,"&lt;=12"),IF(B53=4,SUMIFS(P$5:P53,C$5:C53,C53,B$5:B53,"&gt;=1",B$5:B53,"&lt;=3"),IF(B53=7,SUMIFS(P$5:P53,C$5:C53,C53,B$5:B53,"&gt;=4",B$5:B53,"&lt;=6"),IF(B53=10,SUMIFS(P$5:P53,C$5:C53,C53,B$5:B53,"&gt;=7",B$5:B53,"&lt;=9"),0)))))</f>
        <v/>
      </c>
      <c r="R53" s="14">
        <f>L53*Headlines!$B$11</f>
        <v/>
      </c>
      <c r="S53" s="14">
        <f>I53*Headlines!$B$12</f>
        <v/>
      </c>
      <c r="T53" s="14">
        <f>I53*Headlines!$B$13</f>
        <v/>
      </c>
      <c r="U53" s="14">
        <f>Headlines!$B$14</f>
        <v/>
      </c>
      <c r="V53" s="14">
        <f>G53</f>
        <v/>
      </c>
      <c r="W53" s="14">
        <f>O53-R53-S53-T53-U53-V53</f>
        <v/>
      </c>
      <c r="X53" s="14">
        <f>X52+L53-(R53+S53+T53+U53+V53+Q53)</f>
        <v/>
      </c>
      <c r="Y53" s="16">
        <f>F53</f>
        <v/>
      </c>
    </row>
    <row r="54">
      <c r="A54" t="n">
        <v>50</v>
      </c>
      <c r="B54">
        <f>MOD(A54-1+Headlines!$B$21-1,12)+1</f>
        <v/>
      </c>
      <c r="C54">
        <f>INT((A54-1+Headlines!$B$21-1)/12)+1</f>
        <v/>
      </c>
      <c r="D54">
        <f>VLOOKUP(B54,Headlines!$A$41:$B$52,2,FALSE)</f>
        <v/>
      </c>
      <c r="E54">
        <f>(1+Headlines!$B$20)^INT((A54-1)/12)</f>
        <v/>
      </c>
      <c r="F54">
        <f>Headlines!$B$10*VLOOKUP(B54,Headlines!$A$41:$C$52,3,FALSE)</f>
        <v/>
      </c>
      <c r="G54" s="14">
        <f>Headlines!$B$15</f>
        <v/>
      </c>
      <c r="H54" s="15">
        <f>IF(G54&gt;0,MAX(1,ROUND(G54/Headlines!$B$9*D54,0)),0)</f>
        <v/>
      </c>
      <c r="I54" s="15">
        <f>H54+H53+H52+MAX(0,I53-H53-H52)*(1-F54)</f>
        <v/>
      </c>
      <c r="J54" s="14">
        <f>I54*Headlines!$B$8*E54</f>
        <v/>
      </c>
      <c r="K54" s="14">
        <f>J54*12</f>
        <v/>
      </c>
      <c r="L54" s="14">
        <f>J54</f>
        <v/>
      </c>
      <c r="M54" s="14">
        <f>SUM(L43:L54)</f>
        <v/>
      </c>
      <c r="N54">
        <f>IF(M54&gt;=Headlines!$B$19,1,0)</f>
        <v/>
      </c>
      <c r="O54" s="14">
        <f>IF(N54,L54/(1+Headlines!$B$18),L54)</f>
        <v/>
      </c>
      <c r="P54" s="14">
        <f>L54-O54</f>
        <v/>
      </c>
      <c r="Q54" s="14">
        <f>IF(N54=0,0,IF(B54=1,SUMIFS(P$5:P54,C$5:C54,C54-1,B$5:B54,"&gt;=10",B$5:B54,"&lt;=12"),IF(B54=4,SUMIFS(P$5:P54,C$5:C54,C54,B$5:B54,"&gt;=1",B$5:B54,"&lt;=3"),IF(B54=7,SUMIFS(P$5:P54,C$5:C54,C54,B$5:B54,"&gt;=4",B$5:B54,"&lt;=6"),IF(B54=10,SUMIFS(P$5:P54,C$5:C54,C54,B$5:B54,"&gt;=7",B$5:B54,"&lt;=9"),0)))))</f>
        <v/>
      </c>
      <c r="R54" s="14">
        <f>L54*Headlines!$B$11</f>
        <v/>
      </c>
      <c r="S54" s="14">
        <f>I54*Headlines!$B$12</f>
        <v/>
      </c>
      <c r="T54" s="14">
        <f>I54*Headlines!$B$13</f>
        <v/>
      </c>
      <c r="U54" s="14">
        <f>Headlines!$B$14</f>
        <v/>
      </c>
      <c r="V54" s="14">
        <f>G54</f>
        <v/>
      </c>
      <c r="W54" s="14">
        <f>O54-R54-S54-T54-U54-V54</f>
        <v/>
      </c>
      <c r="X54" s="14">
        <f>X53+L54-(R54+S54+T54+U54+V54+Q54)</f>
        <v/>
      </c>
      <c r="Y54" s="16">
        <f>F54</f>
        <v/>
      </c>
    </row>
    <row r="55">
      <c r="A55" t="n">
        <v>51</v>
      </c>
      <c r="B55">
        <f>MOD(A55-1+Headlines!$B$21-1,12)+1</f>
        <v/>
      </c>
      <c r="C55">
        <f>INT((A55-1+Headlines!$B$21-1)/12)+1</f>
        <v/>
      </c>
      <c r="D55">
        <f>VLOOKUP(B55,Headlines!$A$41:$B$52,2,FALSE)</f>
        <v/>
      </c>
      <c r="E55">
        <f>(1+Headlines!$B$20)^INT((A55-1)/12)</f>
        <v/>
      </c>
      <c r="F55">
        <f>Headlines!$B$10*VLOOKUP(B55,Headlines!$A$41:$C$52,3,FALSE)</f>
        <v/>
      </c>
      <c r="G55" s="14">
        <f>Headlines!$B$15</f>
        <v/>
      </c>
      <c r="H55" s="15">
        <f>IF(G55&gt;0,MAX(1,ROUND(G55/Headlines!$B$9*D55,0)),0)</f>
        <v/>
      </c>
      <c r="I55" s="15">
        <f>H55+H54+H53+MAX(0,I54-H54-H53)*(1-F55)</f>
        <v/>
      </c>
      <c r="J55" s="14">
        <f>I55*Headlines!$B$8*E55</f>
        <v/>
      </c>
      <c r="K55" s="14">
        <f>J55*12</f>
        <v/>
      </c>
      <c r="L55" s="14">
        <f>J55</f>
        <v/>
      </c>
      <c r="M55" s="14">
        <f>SUM(L44:L55)</f>
        <v/>
      </c>
      <c r="N55">
        <f>IF(M55&gt;=Headlines!$B$19,1,0)</f>
        <v/>
      </c>
      <c r="O55" s="14">
        <f>IF(N55,L55/(1+Headlines!$B$18),L55)</f>
        <v/>
      </c>
      <c r="P55" s="14">
        <f>L55-O55</f>
        <v/>
      </c>
      <c r="Q55" s="14">
        <f>IF(N55=0,0,IF(B55=1,SUMIFS(P$5:P55,C$5:C55,C55-1,B$5:B55,"&gt;=10",B$5:B55,"&lt;=12"),IF(B55=4,SUMIFS(P$5:P55,C$5:C55,C55,B$5:B55,"&gt;=1",B$5:B55,"&lt;=3"),IF(B55=7,SUMIFS(P$5:P55,C$5:C55,C55,B$5:B55,"&gt;=4",B$5:B55,"&lt;=6"),IF(B55=10,SUMIFS(P$5:P55,C$5:C55,C55,B$5:B55,"&gt;=7",B$5:B55,"&lt;=9"),0)))))</f>
        <v/>
      </c>
      <c r="R55" s="14">
        <f>L55*Headlines!$B$11</f>
        <v/>
      </c>
      <c r="S55" s="14">
        <f>I55*Headlines!$B$12</f>
        <v/>
      </c>
      <c r="T55" s="14">
        <f>I55*Headlines!$B$13</f>
        <v/>
      </c>
      <c r="U55" s="14">
        <f>Headlines!$B$14</f>
        <v/>
      </c>
      <c r="V55" s="14">
        <f>G55</f>
        <v/>
      </c>
      <c r="W55" s="14">
        <f>O55-R55-S55-T55-U55-V55</f>
        <v/>
      </c>
      <c r="X55" s="14">
        <f>X54+L55-(R55+S55+T55+U55+V55+Q55)</f>
        <v/>
      </c>
      <c r="Y55" s="16">
        <f>F55</f>
        <v/>
      </c>
    </row>
    <row r="56">
      <c r="A56" t="n">
        <v>52</v>
      </c>
      <c r="B56">
        <f>MOD(A56-1+Headlines!$B$21-1,12)+1</f>
        <v/>
      </c>
      <c r="C56">
        <f>INT((A56-1+Headlines!$B$21-1)/12)+1</f>
        <v/>
      </c>
      <c r="D56">
        <f>VLOOKUP(B56,Headlines!$A$41:$B$52,2,FALSE)</f>
        <v/>
      </c>
      <c r="E56">
        <f>(1+Headlines!$B$20)^INT((A56-1)/12)</f>
        <v/>
      </c>
      <c r="F56">
        <f>Headlines!$B$10*VLOOKUP(B56,Headlines!$A$41:$C$52,3,FALSE)</f>
        <v/>
      </c>
      <c r="G56" s="14">
        <f>Headlines!$B$15</f>
        <v/>
      </c>
      <c r="H56" s="15">
        <f>IF(G56&gt;0,MAX(1,ROUND(G56/Headlines!$B$9*D56,0)),0)</f>
        <v/>
      </c>
      <c r="I56" s="15">
        <f>H56+H55+H54+MAX(0,I55-H55-H54)*(1-F56)</f>
        <v/>
      </c>
      <c r="J56" s="14">
        <f>I56*Headlines!$B$8*E56</f>
        <v/>
      </c>
      <c r="K56" s="14">
        <f>J56*12</f>
        <v/>
      </c>
      <c r="L56" s="14">
        <f>J56</f>
        <v/>
      </c>
      <c r="M56" s="14">
        <f>SUM(L45:L56)</f>
        <v/>
      </c>
      <c r="N56">
        <f>IF(M56&gt;=Headlines!$B$19,1,0)</f>
        <v/>
      </c>
      <c r="O56" s="14">
        <f>IF(N56,L56/(1+Headlines!$B$18),L56)</f>
        <v/>
      </c>
      <c r="P56" s="14">
        <f>L56-O56</f>
        <v/>
      </c>
      <c r="Q56" s="14">
        <f>IF(N56=0,0,IF(B56=1,SUMIFS(P$5:P56,C$5:C56,C56-1,B$5:B56,"&gt;=10",B$5:B56,"&lt;=12"),IF(B56=4,SUMIFS(P$5:P56,C$5:C56,C56,B$5:B56,"&gt;=1",B$5:B56,"&lt;=3"),IF(B56=7,SUMIFS(P$5:P56,C$5:C56,C56,B$5:B56,"&gt;=4",B$5:B56,"&lt;=6"),IF(B56=10,SUMIFS(P$5:P56,C$5:C56,C56,B$5:B56,"&gt;=7",B$5:B56,"&lt;=9"),0)))))</f>
        <v/>
      </c>
      <c r="R56" s="14">
        <f>L56*Headlines!$B$11</f>
        <v/>
      </c>
      <c r="S56" s="14">
        <f>I56*Headlines!$B$12</f>
        <v/>
      </c>
      <c r="T56" s="14">
        <f>I56*Headlines!$B$13</f>
        <v/>
      </c>
      <c r="U56" s="14">
        <f>Headlines!$B$14</f>
        <v/>
      </c>
      <c r="V56" s="14">
        <f>G56</f>
        <v/>
      </c>
      <c r="W56" s="14">
        <f>O56-R56-S56-T56-U56-V56</f>
        <v/>
      </c>
      <c r="X56" s="14">
        <f>X55+L56-(R56+S56+T56+U56+V56+Q56)</f>
        <v/>
      </c>
      <c r="Y56" s="16">
        <f>F56</f>
        <v/>
      </c>
    </row>
    <row r="57">
      <c r="A57" t="n">
        <v>53</v>
      </c>
      <c r="B57">
        <f>MOD(A57-1+Headlines!$B$21-1,12)+1</f>
        <v/>
      </c>
      <c r="C57">
        <f>INT((A57-1+Headlines!$B$21-1)/12)+1</f>
        <v/>
      </c>
      <c r="D57">
        <f>VLOOKUP(B57,Headlines!$A$41:$B$52,2,FALSE)</f>
        <v/>
      </c>
      <c r="E57">
        <f>(1+Headlines!$B$20)^INT((A57-1)/12)</f>
        <v/>
      </c>
      <c r="F57">
        <f>Headlines!$B$10*VLOOKUP(B57,Headlines!$A$41:$C$52,3,FALSE)</f>
        <v/>
      </c>
      <c r="G57" s="14">
        <f>Headlines!$B$15</f>
        <v/>
      </c>
      <c r="H57" s="15">
        <f>IF(G57&gt;0,MAX(1,ROUND(G57/Headlines!$B$9*D57,0)),0)</f>
        <v/>
      </c>
      <c r="I57" s="15">
        <f>H57+H56+H55+MAX(0,I56-H56-H55)*(1-F57)</f>
        <v/>
      </c>
      <c r="J57" s="14">
        <f>I57*Headlines!$B$8*E57</f>
        <v/>
      </c>
      <c r="K57" s="14">
        <f>J57*12</f>
        <v/>
      </c>
      <c r="L57" s="14">
        <f>J57</f>
        <v/>
      </c>
      <c r="M57" s="14">
        <f>SUM(L46:L57)</f>
        <v/>
      </c>
      <c r="N57">
        <f>IF(M57&gt;=Headlines!$B$19,1,0)</f>
        <v/>
      </c>
      <c r="O57" s="14">
        <f>IF(N57,L57/(1+Headlines!$B$18),L57)</f>
        <v/>
      </c>
      <c r="P57" s="14">
        <f>L57-O57</f>
        <v/>
      </c>
      <c r="Q57" s="14">
        <f>IF(N57=0,0,IF(B57=1,SUMIFS(P$5:P57,C$5:C57,C57-1,B$5:B57,"&gt;=10",B$5:B57,"&lt;=12"),IF(B57=4,SUMIFS(P$5:P57,C$5:C57,C57,B$5:B57,"&gt;=1",B$5:B57,"&lt;=3"),IF(B57=7,SUMIFS(P$5:P57,C$5:C57,C57,B$5:B57,"&gt;=4",B$5:B57,"&lt;=6"),IF(B57=10,SUMIFS(P$5:P57,C$5:C57,C57,B$5:B57,"&gt;=7",B$5:B57,"&lt;=9"),0)))))</f>
        <v/>
      </c>
      <c r="R57" s="14">
        <f>L57*Headlines!$B$11</f>
        <v/>
      </c>
      <c r="S57" s="14">
        <f>I57*Headlines!$B$12</f>
        <v/>
      </c>
      <c r="T57" s="14">
        <f>I57*Headlines!$B$13</f>
        <v/>
      </c>
      <c r="U57" s="14">
        <f>Headlines!$B$14</f>
        <v/>
      </c>
      <c r="V57" s="14">
        <f>G57</f>
        <v/>
      </c>
      <c r="W57" s="14">
        <f>O57-R57-S57-T57-U57-V57</f>
        <v/>
      </c>
      <c r="X57" s="14">
        <f>X56+L57-(R57+S57+T57+U57+V57+Q57)</f>
        <v/>
      </c>
      <c r="Y57" s="16">
        <f>F57</f>
        <v/>
      </c>
    </row>
    <row r="58">
      <c r="A58" t="n">
        <v>54</v>
      </c>
      <c r="B58">
        <f>MOD(A58-1+Headlines!$B$21-1,12)+1</f>
        <v/>
      </c>
      <c r="C58">
        <f>INT((A58-1+Headlines!$B$21-1)/12)+1</f>
        <v/>
      </c>
      <c r="D58">
        <f>VLOOKUP(B58,Headlines!$A$41:$B$52,2,FALSE)</f>
        <v/>
      </c>
      <c r="E58">
        <f>(1+Headlines!$B$20)^INT((A58-1)/12)</f>
        <v/>
      </c>
      <c r="F58">
        <f>Headlines!$B$10*VLOOKUP(B58,Headlines!$A$41:$C$52,3,FALSE)</f>
        <v/>
      </c>
      <c r="G58" s="14">
        <f>Headlines!$B$15</f>
        <v/>
      </c>
      <c r="H58" s="15">
        <f>IF(G58&gt;0,MAX(1,ROUND(G58/Headlines!$B$9*D58,0)),0)</f>
        <v/>
      </c>
      <c r="I58" s="15">
        <f>H58+H57+H56+MAX(0,I57-H57-H56)*(1-F58)</f>
        <v/>
      </c>
      <c r="J58" s="14">
        <f>I58*Headlines!$B$8*E58</f>
        <v/>
      </c>
      <c r="K58" s="14">
        <f>J58*12</f>
        <v/>
      </c>
      <c r="L58" s="14">
        <f>J58</f>
        <v/>
      </c>
      <c r="M58" s="14">
        <f>SUM(L47:L58)</f>
        <v/>
      </c>
      <c r="N58">
        <f>IF(M58&gt;=Headlines!$B$19,1,0)</f>
        <v/>
      </c>
      <c r="O58" s="14">
        <f>IF(N58,L58/(1+Headlines!$B$18),L58)</f>
        <v/>
      </c>
      <c r="P58" s="14">
        <f>L58-O58</f>
        <v/>
      </c>
      <c r="Q58" s="14">
        <f>IF(N58=0,0,IF(B58=1,SUMIFS(P$5:P58,C$5:C58,C58-1,B$5:B58,"&gt;=10",B$5:B58,"&lt;=12"),IF(B58=4,SUMIFS(P$5:P58,C$5:C58,C58,B$5:B58,"&gt;=1",B$5:B58,"&lt;=3"),IF(B58=7,SUMIFS(P$5:P58,C$5:C58,C58,B$5:B58,"&gt;=4",B$5:B58,"&lt;=6"),IF(B58=10,SUMIFS(P$5:P58,C$5:C58,C58,B$5:B58,"&gt;=7",B$5:B58,"&lt;=9"),0)))))</f>
        <v/>
      </c>
      <c r="R58" s="14">
        <f>L58*Headlines!$B$11</f>
        <v/>
      </c>
      <c r="S58" s="14">
        <f>I58*Headlines!$B$12</f>
        <v/>
      </c>
      <c r="T58" s="14">
        <f>I58*Headlines!$B$13</f>
        <v/>
      </c>
      <c r="U58" s="14">
        <f>Headlines!$B$14</f>
        <v/>
      </c>
      <c r="V58" s="14">
        <f>G58</f>
        <v/>
      </c>
      <c r="W58" s="14">
        <f>O58-R58-S58-T58-U58-V58</f>
        <v/>
      </c>
      <c r="X58" s="14">
        <f>X57+L58-(R58+S58+T58+U58+V58+Q58)</f>
        <v/>
      </c>
      <c r="Y58" s="16">
        <f>F58</f>
        <v/>
      </c>
    </row>
    <row r="59">
      <c r="A59" t="n">
        <v>55</v>
      </c>
      <c r="B59">
        <f>MOD(A59-1+Headlines!$B$21-1,12)+1</f>
        <v/>
      </c>
      <c r="C59">
        <f>INT((A59-1+Headlines!$B$21-1)/12)+1</f>
        <v/>
      </c>
      <c r="D59">
        <f>VLOOKUP(B59,Headlines!$A$41:$B$52,2,FALSE)</f>
        <v/>
      </c>
      <c r="E59">
        <f>(1+Headlines!$B$20)^INT((A59-1)/12)</f>
        <v/>
      </c>
      <c r="F59">
        <f>Headlines!$B$10*VLOOKUP(B59,Headlines!$A$41:$C$52,3,FALSE)</f>
        <v/>
      </c>
      <c r="G59" s="14">
        <f>Headlines!$B$15</f>
        <v/>
      </c>
      <c r="H59" s="15">
        <f>IF(G59&gt;0,MAX(1,ROUND(G59/Headlines!$B$9*D59,0)),0)</f>
        <v/>
      </c>
      <c r="I59" s="15">
        <f>H59+H58+H57+MAX(0,I58-H58-H57)*(1-F59)</f>
        <v/>
      </c>
      <c r="J59" s="14">
        <f>I59*Headlines!$B$8*E59</f>
        <v/>
      </c>
      <c r="K59" s="14">
        <f>J59*12</f>
        <v/>
      </c>
      <c r="L59" s="14">
        <f>J59</f>
        <v/>
      </c>
      <c r="M59" s="14">
        <f>SUM(L48:L59)</f>
        <v/>
      </c>
      <c r="N59">
        <f>IF(M59&gt;=Headlines!$B$19,1,0)</f>
        <v/>
      </c>
      <c r="O59" s="14">
        <f>IF(N59,L59/(1+Headlines!$B$18),L59)</f>
        <v/>
      </c>
      <c r="P59" s="14">
        <f>L59-O59</f>
        <v/>
      </c>
      <c r="Q59" s="14">
        <f>IF(N59=0,0,IF(B59=1,SUMIFS(P$5:P59,C$5:C59,C59-1,B$5:B59,"&gt;=10",B$5:B59,"&lt;=12"),IF(B59=4,SUMIFS(P$5:P59,C$5:C59,C59,B$5:B59,"&gt;=1",B$5:B59,"&lt;=3"),IF(B59=7,SUMIFS(P$5:P59,C$5:C59,C59,B$5:B59,"&gt;=4",B$5:B59,"&lt;=6"),IF(B59=10,SUMIFS(P$5:P59,C$5:C59,C59,B$5:B59,"&gt;=7",B$5:B59,"&lt;=9"),0)))))</f>
        <v/>
      </c>
      <c r="R59" s="14">
        <f>L59*Headlines!$B$11</f>
        <v/>
      </c>
      <c r="S59" s="14">
        <f>I59*Headlines!$B$12</f>
        <v/>
      </c>
      <c r="T59" s="14">
        <f>I59*Headlines!$B$13</f>
        <v/>
      </c>
      <c r="U59" s="14">
        <f>Headlines!$B$14</f>
        <v/>
      </c>
      <c r="V59" s="14">
        <f>G59</f>
        <v/>
      </c>
      <c r="W59" s="14">
        <f>O59-R59-S59-T59-U59-V59</f>
        <v/>
      </c>
      <c r="X59" s="14">
        <f>X58+L59-(R59+S59+T59+U59+V59+Q59)</f>
        <v/>
      </c>
      <c r="Y59" s="16">
        <f>F59</f>
        <v/>
      </c>
    </row>
    <row r="60">
      <c r="A60" t="n">
        <v>56</v>
      </c>
      <c r="B60">
        <f>MOD(A60-1+Headlines!$B$21-1,12)+1</f>
        <v/>
      </c>
      <c r="C60">
        <f>INT((A60-1+Headlines!$B$21-1)/12)+1</f>
        <v/>
      </c>
      <c r="D60">
        <f>VLOOKUP(B60,Headlines!$A$41:$B$52,2,FALSE)</f>
        <v/>
      </c>
      <c r="E60">
        <f>(1+Headlines!$B$20)^INT((A60-1)/12)</f>
        <v/>
      </c>
      <c r="F60">
        <f>Headlines!$B$10*VLOOKUP(B60,Headlines!$A$41:$C$52,3,FALSE)</f>
        <v/>
      </c>
      <c r="G60" s="14">
        <f>Headlines!$B$15</f>
        <v/>
      </c>
      <c r="H60" s="15">
        <f>IF(G60&gt;0,MAX(1,ROUND(G60/Headlines!$B$9*D60,0)),0)</f>
        <v/>
      </c>
      <c r="I60" s="15">
        <f>H60+H59+H58+MAX(0,I59-H59-H58)*(1-F60)</f>
        <v/>
      </c>
      <c r="J60" s="14">
        <f>I60*Headlines!$B$8*E60</f>
        <v/>
      </c>
      <c r="K60" s="14">
        <f>J60*12</f>
        <v/>
      </c>
      <c r="L60" s="14">
        <f>J60</f>
        <v/>
      </c>
      <c r="M60" s="14">
        <f>SUM(L49:L60)</f>
        <v/>
      </c>
      <c r="N60">
        <f>IF(M60&gt;=Headlines!$B$19,1,0)</f>
        <v/>
      </c>
      <c r="O60" s="14">
        <f>IF(N60,L60/(1+Headlines!$B$18),L60)</f>
        <v/>
      </c>
      <c r="P60" s="14">
        <f>L60-O60</f>
        <v/>
      </c>
      <c r="Q60" s="14">
        <f>IF(N60=0,0,IF(B60=1,SUMIFS(P$5:P60,C$5:C60,C60-1,B$5:B60,"&gt;=10",B$5:B60,"&lt;=12"),IF(B60=4,SUMIFS(P$5:P60,C$5:C60,C60,B$5:B60,"&gt;=1",B$5:B60,"&lt;=3"),IF(B60=7,SUMIFS(P$5:P60,C$5:C60,C60,B$5:B60,"&gt;=4",B$5:B60,"&lt;=6"),IF(B60=10,SUMIFS(P$5:P60,C$5:C60,C60,B$5:B60,"&gt;=7",B$5:B60,"&lt;=9"),0)))))</f>
        <v/>
      </c>
      <c r="R60" s="14">
        <f>L60*Headlines!$B$11</f>
        <v/>
      </c>
      <c r="S60" s="14">
        <f>I60*Headlines!$B$12</f>
        <v/>
      </c>
      <c r="T60" s="14">
        <f>I60*Headlines!$B$13</f>
        <v/>
      </c>
      <c r="U60" s="14">
        <f>Headlines!$B$14</f>
        <v/>
      </c>
      <c r="V60" s="14">
        <f>G60</f>
        <v/>
      </c>
      <c r="W60" s="14">
        <f>O60-R60-S60-T60-U60-V60</f>
        <v/>
      </c>
      <c r="X60" s="14">
        <f>X59+L60-(R60+S60+T60+U60+V60+Q60)</f>
        <v/>
      </c>
      <c r="Y60" s="16">
        <f>F60</f>
        <v/>
      </c>
    </row>
    <row r="61">
      <c r="A61" t="n">
        <v>57</v>
      </c>
      <c r="B61">
        <f>MOD(A61-1+Headlines!$B$21-1,12)+1</f>
        <v/>
      </c>
      <c r="C61">
        <f>INT((A61-1+Headlines!$B$21-1)/12)+1</f>
        <v/>
      </c>
      <c r="D61">
        <f>VLOOKUP(B61,Headlines!$A$41:$B$52,2,FALSE)</f>
        <v/>
      </c>
      <c r="E61">
        <f>(1+Headlines!$B$20)^INT((A61-1)/12)</f>
        <v/>
      </c>
      <c r="F61">
        <f>Headlines!$B$10*VLOOKUP(B61,Headlines!$A$41:$C$52,3,FALSE)</f>
        <v/>
      </c>
      <c r="G61" s="14">
        <f>Headlines!$B$15</f>
        <v/>
      </c>
      <c r="H61" s="15">
        <f>IF(G61&gt;0,MAX(1,ROUND(G61/Headlines!$B$9*D61,0)),0)</f>
        <v/>
      </c>
      <c r="I61" s="15">
        <f>H61+H60+H59+MAX(0,I60-H60-H59)*(1-F61)</f>
        <v/>
      </c>
      <c r="J61" s="14">
        <f>I61*Headlines!$B$8*E61</f>
        <v/>
      </c>
      <c r="K61" s="14">
        <f>J61*12</f>
        <v/>
      </c>
      <c r="L61" s="14">
        <f>J61</f>
        <v/>
      </c>
      <c r="M61" s="14">
        <f>SUM(L50:L61)</f>
        <v/>
      </c>
      <c r="N61">
        <f>IF(M61&gt;=Headlines!$B$19,1,0)</f>
        <v/>
      </c>
      <c r="O61" s="14">
        <f>IF(N61,L61/(1+Headlines!$B$18),L61)</f>
        <v/>
      </c>
      <c r="P61" s="14">
        <f>L61-O61</f>
        <v/>
      </c>
      <c r="Q61" s="14">
        <f>IF(N61=0,0,IF(B61=1,SUMIFS(P$5:P61,C$5:C61,C61-1,B$5:B61,"&gt;=10",B$5:B61,"&lt;=12"),IF(B61=4,SUMIFS(P$5:P61,C$5:C61,C61,B$5:B61,"&gt;=1",B$5:B61,"&lt;=3"),IF(B61=7,SUMIFS(P$5:P61,C$5:C61,C61,B$5:B61,"&gt;=4",B$5:B61,"&lt;=6"),IF(B61=10,SUMIFS(P$5:P61,C$5:C61,C61,B$5:B61,"&gt;=7",B$5:B61,"&lt;=9"),0)))))</f>
        <v/>
      </c>
      <c r="R61" s="14">
        <f>L61*Headlines!$B$11</f>
        <v/>
      </c>
      <c r="S61" s="14">
        <f>I61*Headlines!$B$12</f>
        <v/>
      </c>
      <c r="T61" s="14">
        <f>I61*Headlines!$B$13</f>
        <v/>
      </c>
      <c r="U61" s="14">
        <f>Headlines!$B$14</f>
        <v/>
      </c>
      <c r="V61" s="14">
        <f>G61</f>
        <v/>
      </c>
      <c r="W61" s="14">
        <f>O61-R61-S61-T61-U61-V61</f>
        <v/>
      </c>
      <c r="X61" s="14">
        <f>X60+L61-(R61+S61+T61+U61+V61+Q61)</f>
        <v/>
      </c>
      <c r="Y61" s="16">
        <f>F61</f>
        <v/>
      </c>
    </row>
    <row r="62">
      <c r="A62" t="n">
        <v>58</v>
      </c>
      <c r="B62">
        <f>MOD(A62-1+Headlines!$B$21-1,12)+1</f>
        <v/>
      </c>
      <c r="C62">
        <f>INT((A62-1+Headlines!$B$21-1)/12)+1</f>
        <v/>
      </c>
      <c r="D62">
        <f>VLOOKUP(B62,Headlines!$A$41:$B$52,2,FALSE)</f>
        <v/>
      </c>
      <c r="E62">
        <f>(1+Headlines!$B$20)^INT((A62-1)/12)</f>
        <v/>
      </c>
      <c r="F62">
        <f>Headlines!$B$10*VLOOKUP(B62,Headlines!$A$41:$C$52,3,FALSE)</f>
        <v/>
      </c>
      <c r="G62" s="14">
        <f>Headlines!$B$15</f>
        <v/>
      </c>
      <c r="H62" s="15">
        <f>IF(G62&gt;0,MAX(1,ROUND(G62/Headlines!$B$9*D62,0)),0)</f>
        <v/>
      </c>
      <c r="I62" s="15">
        <f>H62+H61+H60+MAX(0,I61-H61-H60)*(1-F62)</f>
        <v/>
      </c>
      <c r="J62" s="14">
        <f>I62*Headlines!$B$8*E62</f>
        <v/>
      </c>
      <c r="K62" s="14">
        <f>J62*12</f>
        <v/>
      </c>
      <c r="L62" s="14">
        <f>J62</f>
        <v/>
      </c>
      <c r="M62" s="14">
        <f>SUM(L51:L62)</f>
        <v/>
      </c>
      <c r="N62">
        <f>IF(M62&gt;=Headlines!$B$19,1,0)</f>
        <v/>
      </c>
      <c r="O62" s="14">
        <f>IF(N62,L62/(1+Headlines!$B$18),L62)</f>
        <v/>
      </c>
      <c r="P62" s="14">
        <f>L62-O62</f>
        <v/>
      </c>
      <c r="Q62" s="14">
        <f>IF(N62=0,0,IF(B62=1,SUMIFS(P$5:P62,C$5:C62,C62-1,B$5:B62,"&gt;=10",B$5:B62,"&lt;=12"),IF(B62=4,SUMIFS(P$5:P62,C$5:C62,C62,B$5:B62,"&gt;=1",B$5:B62,"&lt;=3"),IF(B62=7,SUMIFS(P$5:P62,C$5:C62,C62,B$5:B62,"&gt;=4",B$5:B62,"&lt;=6"),IF(B62=10,SUMIFS(P$5:P62,C$5:C62,C62,B$5:B62,"&gt;=7",B$5:B62,"&lt;=9"),0)))))</f>
        <v/>
      </c>
      <c r="R62" s="14">
        <f>L62*Headlines!$B$11</f>
        <v/>
      </c>
      <c r="S62" s="14">
        <f>I62*Headlines!$B$12</f>
        <v/>
      </c>
      <c r="T62" s="14">
        <f>I62*Headlines!$B$13</f>
        <v/>
      </c>
      <c r="U62" s="14">
        <f>Headlines!$B$14</f>
        <v/>
      </c>
      <c r="V62" s="14">
        <f>G62</f>
        <v/>
      </c>
      <c r="W62" s="14">
        <f>O62-R62-S62-T62-U62-V62</f>
        <v/>
      </c>
      <c r="X62" s="14">
        <f>X61+L62-(R62+S62+T62+U62+V62+Q62)</f>
        <v/>
      </c>
      <c r="Y62" s="16">
        <f>F62</f>
        <v/>
      </c>
    </row>
    <row r="63">
      <c r="A63" t="n">
        <v>59</v>
      </c>
      <c r="B63">
        <f>MOD(A63-1+Headlines!$B$21-1,12)+1</f>
        <v/>
      </c>
      <c r="C63">
        <f>INT((A63-1+Headlines!$B$21-1)/12)+1</f>
        <v/>
      </c>
      <c r="D63">
        <f>VLOOKUP(B63,Headlines!$A$41:$B$52,2,FALSE)</f>
        <v/>
      </c>
      <c r="E63">
        <f>(1+Headlines!$B$20)^INT((A63-1)/12)</f>
        <v/>
      </c>
      <c r="F63">
        <f>Headlines!$B$10*VLOOKUP(B63,Headlines!$A$41:$C$52,3,FALSE)</f>
        <v/>
      </c>
      <c r="G63" s="14">
        <f>Headlines!$B$15</f>
        <v/>
      </c>
      <c r="H63" s="15">
        <f>IF(G63&gt;0,MAX(1,ROUND(G63/Headlines!$B$9*D63,0)),0)</f>
        <v/>
      </c>
      <c r="I63" s="15">
        <f>H63+H62+H61+MAX(0,I62-H62-H61)*(1-F63)</f>
        <v/>
      </c>
      <c r="J63" s="14">
        <f>I63*Headlines!$B$8*E63</f>
        <v/>
      </c>
      <c r="K63" s="14">
        <f>J63*12</f>
        <v/>
      </c>
      <c r="L63" s="14">
        <f>J63</f>
        <v/>
      </c>
      <c r="M63" s="14">
        <f>SUM(L52:L63)</f>
        <v/>
      </c>
      <c r="N63">
        <f>IF(M63&gt;=Headlines!$B$19,1,0)</f>
        <v/>
      </c>
      <c r="O63" s="14">
        <f>IF(N63,L63/(1+Headlines!$B$18),L63)</f>
        <v/>
      </c>
      <c r="P63" s="14">
        <f>L63-O63</f>
        <v/>
      </c>
      <c r="Q63" s="14">
        <f>IF(N63=0,0,IF(B63=1,SUMIFS(P$5:P63,C$5:C63,C63-1,B$5:B63,"&gt;=10",B$5:B63,"&lt;=12"),IF(B63=4,SUMIFS(P$5:P63,C$5:C63,C63,B$5:B63,"&gt;=1",B$5:B63,"&lt;=3"),IF(B63=7,SUMIFS(P$5:P63,C$5:C63,C63,B$5:B63,"&gt;=4",B$5:B63,"&lt;=6"),IF(B63=10,SUMIFS(P$5:P63,C$5:C63,C63,B$5:B63,"&gt;=7",B$5:B63,"&lt;=9"),0)))))</f>
        <v/>
      </c>
      <c r="R63" s="14">
        <f>L63*Headlines!$B$11</f>
        <v/>
      </c>
      <c r="S63" s="14">
        <f>I63*Headlines!$B$12</f>
        <v/>
      </c>
      <c r="T63" s="14">
        <f>I63*Headlines!$B$13</f>
        <v/>
      </c>
      <c r="U63" s="14">
        <f>Headlines!$B$14</f>
        <v/>
      </c>
      <c r="V63" s="14">
        <f>G63</f>
        <v/>
      </c>
      <c r="W63" s="14">
        <f>O63-R63-S63-T63-U63-V63</f>
        <v/>
      </c>
      <c r="X63" s="14">
        <f>X62+L63-(R63+S63+T63+U63+V63+Q63)</f>
        <v/>
      </c>
      <c r="Y63" s="16">
        <f>F63</f>
        <v/>
      </c>
    </row>
    <row r="64">
      <c r="A64" t="n">
        <v>60</v>
      </c>
      <c r="B64">
        <f>MOD(A64-1+Headlines!$B$21-1,12)+1</f>
        <v/>
      </c>
      <c r="C64">
        <f>INT((A64-1+Headlines!$B$21-1)/12)+1</f>
        <v/>
      </c>
      <c r="D64">
        <f>VLOOKUP(B64,Headlines!$A$41:$B$52,2,FALSE)</f>
        <v/>
      </c>
      <c r="E64">
        <f>(1+Headlines!$B$20)^INT((A64-1)/12)</f>
        <v/>
      </c>
      <c r="F64">
        <f>Headlines!$B$10*VLOOKUP(B64,Headlines!$A$41:$C$52,3,FALSE)</f>
        <v/>
      </c>
      <c r="G64" s="14">
        <f>Headlines!$B$15</f>
        <v/>
      </c>
      <c r="H64" s="15">
        <f>IF(G64&gt;0,MAX(1,ROUND(G64/Headlines!$B$9*D64,0)),0)</f>
        <v/>
      </c>
      <c r="I64" s="15">
        <f>H64+H63+H62+MAX(0,I63-H63-H62)*(1-F64)</f>
        <v/>
      </c>
      <c r="J64" s="14">
        <f>I64*Headlines!$B$8*E64</f>
        <v/>
      </c>
      <c r="K64" s="14">
        <f>J64*12</f>
        <v/>
      </c>
      <c r="L64" s="14">
        <f>J64</f>
        <v/>
      </c>
      <c r="M64" s="14">
        <f>SUM(L53:L64)</f>
        <v/>
      </c>
      <c r="N64">
        <f>IF(M64&gt;=Headlines!$B$19,1,0)</f>
        <v/>
      </c>
      <c r="O64" s="14">
        <f>IF(N64,L64/(1+Headlines!$B$18),L64)</f>
        <v/>
      </c>
      <c r="P64" s="14">
        <f>L64-O64</f>
        <v/>
      </c>
      <c r="Q64" s="14">
        <f>IF(N64=0,0,IF(B64=1,SUMIFS(P$5:P64,C$5:C64,C64-1,B$5:B64,"&gt;=10",B$5:B64,"&lt;=12"),IF(B64=4,SUMIFS(P$5:P64,C$5:C64,C64,B$5:B64,"&gt;=1",B$5:B64,"&lt;=3"),IF(B64=7,SUMIFS(P$5:P64,C$5:C64,C64,B$5:B64,"&gt;=4",B$5:B64,"&lt;=6"),IF(B64=10,SUMIFS(P$5:P64,C$5:C64,C64,B$5:B64,"&gt;=7",B$5:B64,"&lt;=9"),0)))))</f>
        <v/>
      </c>
      <c r="R64" s="14">
        <f>L64*Headlines!$B$11</f>
        <v/>
      </c>
      <c r="S64" s="14">
        <f>I64*Headlines!$B$12</f>
        <v/>
      </c>
      <c r="T64" s="14">
        <f>I64*Headlines!$B$13</f>
        <v/>
      </c>
      <c r="U64" s="14">
        <f>Headlines!$B$14</f>
        <v/>
      </c>
      <c r="V64" s="14">
        <f>G64</f>
        <v/>
      </c>
      <c r="W64" s="14">
        <f>O64-R64-S64-T64-U64-V64</f>
        <v/>
      </c>
      <c r="X64" s="14">
        <f>X63+L64-(R64+S64+T64+U64+V64+Q64)</f>
        <v/>
      </c>
      <c r="Y64" s="16">
        <f>F64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Summary</t>
        </is>
      </c>
    </row>
    <row r="3">
      <c r="A3" s="9" t="inlineStr">
        <is>
          <t>Year</t>
        </is>
      </c>
      <c r="B3" s="9" t="inlineStr">
        <is>
          <t>Cust</t>
        </is>
      </c>
      <c r="C3" s="9" t="inlineStr">
        <is>
          <t>MRR</t>
        </is>
      </c>
      <c r="D3" s="9" t="inlineStr">
        <is>
          <t>ARR</t>
        </is>
      </c>
      <c r="E3" s="9" t="inlineStr">
        <is>
          <t>New</t>
        </is>
      </c>
      <c r="F3" s="9" t="inlineStr">
        <is>
          <t>Gross</t>
        </is>
      </c>
      <c r="G3" s="9" t="inlineStr">
        <is>
          <t>Net</t>
        </is>
      </c>
      <c r="H3" s="9" t="inlineStr">
        <is>
          <t>VAcc</t>
        </is>
      </c>
      <c r="I3" s="9" t="inlineStr">
        <is>
          <t>VPay</t>
        </is>
      </c>
      <c r="J3" s="9" t="inlineStr">
        <is>
          <t>Fees</t>
        </is>
      </c>
      <c r="K3" s="9" t="inlineStr">
        <is>
          <t>Prov</t>
        </is>
      </c>
      <c r="L3" s="9" t="inlineStr">
        <is>
          <t>Ops</t>
        </is>
      </c>
      <c r="M3" s="9" t="inlineStr">
        <is>
          <t>Fixed</t>
        </is>
      </c>
      <c r="N3" s="9" t="inlineStr">
        <is>
          <t>Mkt</t>
        </is>
      </c>
      <c r="O3" s="9" t="inlineStr">
        <is>
          <t>Profit</t>
        </is>
      </c>
      <c r="P3" s="9" t="inlineStr">
        <is>
          <t>Cash</t>
        </is>
      </c>
    </row>
    <row r="4">
      <c r="A4" t="inlineStr">
        <is>
          <t>Year 1</t>
        </is>
      </c>
      <c r="B4" s="15">
        <f>Model!I16</f>
        <v/>
      </c>
      <c r="C4" s="14">
        <f>Model!J16</f>
        <v/>
      </c>
      <c r="D4" s="14">
        <f>Model!K16</f>
        <v/>
      </c>
      <c r="E4" s="15">
        <f>SUM(Model!H5:H16)</f>
        <v/>
      </c>
      <c r="F4" s="14">
        <f>SUM(Model!L5:L16)</f>
        <v/>
      </c>
      <c r="G4" s="14">
        <f>SUM(Model!O5:O16)</f>
        <v/>
      </c>
      <c r="H4" s="14">
        <f>SUM(Model!P5:P16)</f>
        <v/>
      </c>
      <c r="I4" s="14">
        <f>SUM(Model!Q5:Q16)</f>
        <v/>
      </c>
      <c r="J4" s="14">
        <f>SUM(Model!R5:R16)</f>
        <v/>
      </c>
      <c r="K4" s="14">
        <f>SUM(Model!S5:S16)</f>
        <v/>
      </c>
      <c r="L4" s="14">
        <f>SUM(Model!T5:T16)</f>
        <v/>
      </c>
      <c r="M4" s="14">
        <f>SUM(Model!U5:U16)</f>
        <v/>
      </c>
      <c r="N4" s="14">
        <f>SUM(Model!V5:V16)</f>
        <v/>
      </c>
      <c r="O4" s="14">
        <f>SUM(Model!W5:W16)</f>
        <v/>
      </c>
      <c r="P4" s="14">
        <f>Model!X16</f>
        <v/>
      </c>
    </row>
    <row r="5">
      <c r="A5" t="inlineStr">
        <is>
          <t>Year 2</t>
        </is>
      </c>
      <c r="B5" s="15">
        <f>Model!I28</f>
        <v/>
      </c>
      <c r="C5" s="14">
        <f>Model!J28</f>
        <v/>
      </c>
      <c r="D5" s="14">
        <f>Model!K28</f>
        <v/>
      </c>
      <c r="E5" s="15">
        <f>SUM(Model!H17:H28)</f>
        <v/>
      </c>
      <c r="F5" s="14">
        <f>SUM(Model!L17:L28)</f>
        <v/>
      </c>
      <c r="G5" s="14">
        <f>SUM(Model!O17:O28)</f>
        <v/>
      </c>
      <c r="H5" s="14">
        <f>SUM(Model!P17:P28)</f>
        <v/>
      </c>
      <c r="I5" s="14">
        <f>SUM(Model!Q17:Q28)</f>
        <v/>
      </c>
      <c r="J5" s="14">
        <f>SUM(Model!R17:R28)</f>
        <v/>
      </c>
      <c r="K5" s="14">
        <f>SUM(Model!S17:S28)</f>
        <v/>
      </c>
      <c r="L5" s="14">
        <f>SUM(Model!T17:T28)</f>
        <v/>
      </c>
      <c r="M5" s="14">
        <f>SUM(Model!U17:U28)</f>
        <v/>
      </c>
      <c r="N5" s="14">
        <f>SUM(Model!V17:V28)</f>
        <v/>
      </c>
      <c r="O5" s="14">
        <f>SUM(Model!W17:W28)</f>
        <v/>
      </c>
      <c r="P5" s="14">
        <f>Model!X28</f>
        <v/>
      </c>
    </row>
    <row r="6">
      <c r="A6" t="inlineStr">
        <is>
          <t>Year 3</t>
        </is>
      </c>
      <c r="B6" s="15">
        <f>Model!I40</f>
        <v/>
      </c>
      <c r="C6" s="14">
        <f>Model!J40</f>
        <v/>
      </c>
      <c r="D6" s="14">
        <f>Model!K40</f>
        <v/>
      </c>
      <c r="E6" s="15">
        <f>SUM(Model!H29:H40)</f>
        <v/>
      </c>
      <c r="F6" s="14">
        <f>SUM(Model!L29:L40)</f>
        <v/>
      </c>
      <c r="G6" s="14">
        <f>SUM(Model!O29:O40)</f>
        <v/>
      </c>
      <c r="H6" s="14">
        <f>SUM(Model!P29:P40)</f>
        <v/>
      </c>
      <c r="I6" s="14">
        <f>SUM(Model!Q29:Q40)</f>
        <v/>
      </c>
      <c r="J6" s="14">
        <f>SUM(Model!R29:R40)</f>
        <v/>
      </c>
      <c r="K6" s="14">
        <f>SUM(Model!S29:S40)</f>
        <v/>
      </c>
      <c r="L6" s="14">
        <f>SUM(Model!T29:T40)</f>
        <v/>
      </c>
      <c r="M6" s="14">
        <f>SUM(Model!U29:U40)</f>
        <v/>
      </c>
      <c r="N6" s="14">
        <f>SUM(Model!V29:V40)</f>
        <v/>
      </c>
      <c r="O6" s="14">
        <f>SUM(Model!W29:W40)</f>
        <v/>
      </c>
      <c r="P6" s="14">
        <f>Model!X40</f>
        <v/>
      </c>
    </row>
    <row r="7">
      <c r="A7" t="inlineStr">
        <is>
          <t>Year 4</t>
        </is>
      </c>
      <c r="B7" s="15">
        <f>Model!I52</f>
        <v/>
      </c>
      <c r="C7" s="14">
        <f>Model!J52</f>
        <v/>
      </c>
      <c r="D7" s="14">
        <f>Model!K52</f>
        <v/>
      </c>
      <c r="E7" s="15">
        <f>SUM(Model!H41:H52)</f>
        <v/>
      </c>
      <c r="F7" s="14">
        <f>SUM(Model!L41:L52)</f>
        <v/>
      </c>
      <c r="G7" s="14">
        <f>SUM(Model!O41:O52)</f>
        <v/>
      </c>
      <c r="H7" s="14">
        <f>SUM(Model!P41:P52)</f>
        <v/>
      </c>
      <c r="I7" s="14">
        <f>SUM(Model!Q41:Q52)</f>
        <v/>
      </c>
      <c r="J7" s="14">
        <f>SUM(Model!R41:R52)</f>
        <v/>
      </c>
      <c r="K7" s="14">
        <f>SUM(Model!S41:S52)</f>
        <v/>
      </c>
      <c r="L7" s="14">
        <f>SUM(Model!T41:T52)</f>
        <v/>
      </c>
      <c r="M7" s="14">
        <f>SUM(Model!U41:U52)</f>
        <v/>
      </c>
      <c r="N7" s="14">
        <f>SUM(Model!V41:V52)</f>
        <v/>
      </c>
      <c r="O7" s="14">
        <f>SUM(Model!W41:W52)</f>
        <v/>
      </c>
      <c r="P7" s="14">
        <f>Model!X52</f>
        <v/>
      </c>
    </row>
    <row r="8">
      <c r="A8" t="inlineStr">
        <is>
          <t>Year 5</t>
        </is>
      </c>
      <c r="B8" s="15">
        <f>Model!I64</f>
        <v/>
      </c>
      <c r="C8" s="14">
        <f>Model!J64</f>
        <v/>
      </c>
      <c r="D8" s="14">
        <f>Model!K64</f>
        <v/>
      </c>
      <c r="E8" s="15">
        <f>SUM(Model!H53:H64)</f>
        <v/>
      </c>
      <c r="F8" s="14">
        <f>SUM(Model!L53:L64)</f>
        <v/>
      </c>
      <c r="G8" s="14">
        <f>SUM(Model!O53:O64)</f>
        <v/>
      </c>
      <c r="H8" s="14">
        <f>SUM(Model!P53:P64)</f>
        <v/>
      </c>
      <c r="I8" s="14">
        <f>SUM(Model!Q53:Q64)</f>
        <v/>
      </c>
      <c r="J8" s="14">
        <f>SUM(Model!R53:R64)</f>
        <v/>
      </c>
      <c r="K8" s="14">
        <f>SUM(Model!S53:S64)</f>
        <v/>
      </c>
      <c r="L8" s="14">
        <f>SUM(Model!T53:T64)</f>
        <v/>
      </c>
      <c r="M8" s="14">
        <f>SUM(Model!U53:U64)</f>
        <v/>
      </c>
      <c r="N8" s="14">
        <f>SUM(Model!V53:V64)</f>
        <v/>
      </c>
      <c r="O8" s="14">
        <f>SUM(Model!W53:W64)</f>
        <v/>
      </c>
      <c r="P8" s="14">
        <f>Model!X64</f>
        <v/>
      </c>
    </row>
    <row r="10">
      <c r="A10" t="inlineStr">
        <is>
          <t>VAT registration</t>
        </is>
      </c>
      <c r="B10">
        <f>IFERROR("Month "&amp;MINIFS(Model!A5:A64,Model!N5:N64,1),"Not in 60 months")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2026-05-28T08:01:36Z</dcterms:created>
  <dcterms:modified xsi:type="dcterms:W3CDTF">2026-05-28T13:21:41Z</dcterms:modified>
</cp:coreProperties>
</file>